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9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ccounts &amp; setup" sheetId="3" state="visible" r:id="rId3"/>
  </sheets>
  <definedNames>
    <definedName name="_xlnm._FilterDatabase" localSheetId="1" hidden="1">'Scenarios'!$A$1:$L$120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5">
    <font>
      <name val="Calibri"/>
      <charset val="134"/>
      <color theme="1"/>
      <sz val="11"/>
      <scheme val="minor"/>
    </font>
    <font>
      <name val="Arial"/>
      <charset val="134"/>
      <b val="1"/>
      <color rgb="FF082D61"/>
      <sz val="13"/>
    </font>
    <font>
      <name val="Arial"/>
      <charset val="134"/>
      <b val="1"/>
      <color rgb="FFFFFFFF"/>
      <sz val="10"/>
    </font>
    <font>
      <name val="Arial"/>
      <charset val="134"/>
      <color rgb="FF000000"/>
      <sz val="10"/>
    </font>
    <font>
      <name val="Arial"/>
      <charset val="134"/>
      <b val="1"/>
      <color rgb="FF000000"/>
      <sz val="10"/>
    </font>
    <font>
      <name val="Arial"/>
      <charset val="134"/>
      <color rgb="FF067647"/>
      <sz val="10"/>
    </font>
    <font>
      <name val="Arial"/>
      <charset val="134"/>
      <color rgb="FF0000FF"/>
      <sz val="10"/>
    </font>
    <font>
      <name val="Arial"/>
      <charset val="134"/>
      <color rgb="FFB42318"/>
      <sz val="10"/>
    </font>
    <font>
      <name val="Arial"/>
      <charset val="134"/>
      <color rgb="FF9A6700"/>
      <sz val="10"/>
    </font>
    <font>
      <name val="Arial"/>
      <charset val="134"/>
      <b val="1"/>
      <color rgb="FF082D61"/>
      <sz val="16"/>
    </font>
    <font>
      <name val="Arial"/>
      <charset val="134"/>
      <color rgb="FF425772"/>
      <sz val="10"/>
    </font>
    <font>
      <name val="Arial"/>
      <charset val="134"/>
      <b val="1"/>
      <color rgb="FF082D6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82D61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EA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CE7F1"/>
      </left>
      <right style="thin">
        <color rgb="FFDCE7F1"/>
      </right>
      <top style="thin">
        <color rgb="FFDCE7F1"/>
      </top>
      <bottom style="thin">
        <color rgb="FFDCE7F1"/>
      </bottom>
      <diagonal/>
    </border>
    <border>
      <left/>
      <right/>
      <top style="thin">
        <color rgb="FFDCE7F1"/>
      </top>
      <bottom style="thin">
        <color rgb="FFDCE7F1"/>
      </bottom>
      <diagonal/>
    </border>
    <border>
      <left/>
      <right style="thin">
        <color rgb="FFDCE7F1"/>
      </right>
      <top style="thin">
        <color rgb="FFDCE7F1"/>
      </top>
      <bottom style="thin">
        <color rgb="FFDCE7F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CE7F1"/>
      </top>
      <bottom/>
      <diagonal/>
    </border>
    <border>
      <left/>
      <right style="thin">
        <color rgb="FFDCE7F1"/>
      </right>
      <top style="thin">
        <color rgb="FFDCE7F1"/>
      </top>
      <bottom/>
      <diagonal/>
    </border>
  </borders>
  <cellStyleXfs count="49">
    <xf numFmtId="0" fontId="14" fillId="0" borderId="0"/>
    <xf numFmtId="164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165" fontId="14" fillId="0" borderId="0" applyAlignment="1">
      <alignment vertical="center"/>
    </xf>
    <xf numFmtId="42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5" borderId="4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5" applyAlignment="1">
      <alignment vertical="center"/>
    </xf>
    <xf numFmtId="0" fontId="21" fillId="0" borderId="5" applyAlignment="1">
      <alignment vertical="center"/>
    </xf>
    <xf numFmtId="0" fontId="22" fillId="0" borderId="6" applyAlignment="1">
      <alignment vertical="center"/>
    </xf>
    <xf numFmtId="0" fontId="22" fillId="0" borderId="0" applyAlignment="1">
      <alignment vertical="center"/>
    </xf>
    <xf numFmtId="0" fontId="23" fillId="6" borderId="7" applyAlignment="1">
      <alignment vertical="center"/>
    </xf>
    <xf numFmtId="0" fontId="24" fillId="7" borderId="8" applyAlignment="1">
      <alignment vertical="center"/>
    </xf>
    <xf numFmtId="0" fontId="25" fillId="7" borderId="7" applyAlignment="1">
      <alignment vertical="center"/>
    </xf>
    <xf numFmtId="0" fontId="26" fillId="8" borderId="9" applyAlignment="1">
      <alignment vertical="center"/>
    </xf>
    <xf numFmtId="0" fontId="27" fillId="0" borderId="10" applyAlignment="1">
      <alignment vertical="center"/>
    </xf>
    <xf numFmtId="0" fontId="28" fillId="0" borderId="11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2" fillId="4" borderId="1" pivotButton="0" quotePrefix="0" xfId="0"/>
    <xf numFmtId="9" fontId="13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D1FADF"/>
        </patternFill>
      </fill>
    </dxf>
    <dxf>
      <fill>
        <patternFill patternType="solid">
          <fgColor rgb="FFFEE4E2"/>
        </patternFill>
      </fill>
    </dxf>
    <dxf>
      <fill>
        <patternFill patternType="solid">
          <fgColor rgb="FFFEF0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Smart Market QA</author>
  </authors>
  <commentList>
    <comment ref="J2" authorId="0" shapeId="0">
      <text>
        <t>Example row: Status, Actual result and Tester / date are the cells testers fill in (blue). Replace with your own result.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E23" sqref="E23"/>
    </sheetView>
  </sheetViews>
  <sheetFormatPr baseColWidth="8" defaultColWidth="9" defaultRowHeight="14.25"/>
  <cols>
    <col width="24" customWidth="1" min="1" max="1"/>
    <col width="14" customWidth="1" min="2" max="6"/>
    <col width="31.0619469026549" customWidth="1" min="7" max="7"/>
    <col width="12" customWidth="1" min="8" max="8"/>
  </cols>
  <sheetData>
    <row r="1" ht="20.6" customHeight="1">
      <c r="A1" s="12" t="inlineStr">
        <is>
          <t>SmartPlaze — manual test plan</t>
        </is>
      </c>
    </row>
    <row r="2">
      <c r="A2" s="13" t="inlineStr">
        <is>
          <t>Staging: https://smartplaze.com   ·   Generated 2026-09-24   ·   Fill the blue cells on the Scenarios sheet (Status, Actual result, Tester / date).</t>
        </is>
      </c>
    </row>
    <row r="4">
      <c r="A4" s="14" t="inlineStr">
        <is>
          <t>Legend</t>
        </is>
      </c>
    </row>
    <row r="5">
      <c r="A5" s="15" t="inlineStr">
        <is>
          <t>Success</t>
        </is>
      </c>
      <c r="B5" s="16" t="inlineStr">
        <is>
          <t>Happy path: the step must work as described.</t>
        </is>
      </c>
    </row>
    <row r="6">
      <c r="A6" s="15" t="inlineStr">
        <is>
          <t>Failure (expected error)</t>
        </is>
      </c>
      <c r="B6" s="16" t="inlineStr">
        <is>
          <t>The app must refuse or block the action with the described message; a refusal is a PASS.</t>
        </is>
      </c>
    </row>
    <row r="7">
      <c r="A7" s="15" t="inlineStr">
        <is>
          <t>Blocked (needs provider key)</t>
        </is>
      </c>
      <c r="B7" s="16" t="inlineStr">
        <is>
          <t>Cannot be run until the named key is configured (K-Pay live keys, Google redirect URI).</t>
        </is>
      </c>
    </row>
    <row r="8">
      <c r="A8" s="15" t="inlineStr">
        <is>
          <t>Status values</t>
        </is>
      </c>
      <c r="B8" s="16" t="inlineStr">
        <is>
          <t>Pass / Fail / Blocked / Not run — dropdown on the Scenarios sheet.</t>
        </is>
      </c>
    </row>
    <row r="11" ht="26.25" customHeight="1">
      <c r="A11" s="2" t="inlineStr">
        <is>
          <t>Area</t>
        </is>
      </c>
      <c r="B11" s="2" t="inlineStr">
        <is>
          <t>Scenarios</t>
        </is>
      </c>
      <c r="C11" s="2" t="inlineStr">
        <is>
          <t>Success paths</t>
        </is>
      </c>
      <c r="D11" s="2" t="inlineStr">
        <is>
          <t>Expected failures</t>
        </is>
      </c>
      <c r="E11" s="2" t="inlineStr">
        <is>
          <t>Blocked (keys)</t>
        </is>
      </c>
      <c r="F11" s="2" t="inlineStr">
        <is>
          <t>Pass</t>
        </is>
      </c>
      <c r="G11" s="2" t="inlineStr">
        <is>
          <t>Fail</t>
        </is>
      </c>
      <c r="H11" s="2" t="inlineStr">
        <is>
          <t>Not run</t>
        </is>
      </c>
    </row>
    <row r="12">
      <c r="A12" s="4" t="inlineStr">
        <is>
          <t>Storefront</t>
        </is>
      </c>
      <c r="B12" s="3">
        <f>COUNTIF(Scenarios!$B$2:$B$120,A12)</f>
        <v/>
      </c>
      <c r="C12" s="3">
        <f>COUNTIFS(Scenarios!$B$2:$B$120,A12,Scenarios!$H$2:$H$120,"Success")</f>
        <v/>
      </c>
      <c r="D12" s="3">
        <f>COUNTIFS(Scenarios!$B$2:$B$120,A12,Scenarios!$H$2:$H$120,"Failure*")</f>
        <v/>
      </c>
      <c r="E12" s="3">
        <f>COUNTIFS(Scenarios!$B$2:$B$120,A12,Scenarios!$H$2:$H$120,"Blocked*")</f>
        <v/>
      </c>
      <c r="F12" s="3">
        <f>COUNTIFS(Scenarios!$B$2:$B$120,A12,Scenarios!$J$2:$J$120,"Pass")</f>
        <v/>
      </c>
      <c r="G12" s="3">
        <f>COUNTIFS(Scenarios!$B$2:$B$120,A12,Scenarios!$J$2:$J$120,"Fail")</f>
        <v/>
      </c>
      <c r="H12" s="3">
        <f>B12-F12-G12-COUNTIFS(Scenarios!$B$2:$B$120,A12,Scenarios!$J$2:$J$120,"Blocked")</f>
        <v/>
      </c>
    </row>
    <row r="13">
      <c r="A13" s="4" t="inlineStr">
        <is>
          <t>Flash deals</t>
        </is>
      </c>
      <c r="B13" s="3">
        <f>COUNTIF(Scenarios!$B$2:$B$120,A13)</f>
        <v/>
      </c>
      <c r="C13" s="3">
        <f>COUNTIFS(Scenarios!$B$2:$B$120,A13,Scenarios!$H$2:$H$120,"Success")</f>
        <v/>
      </c>
      <c r="D13" s="3">
        <f>COUNTIFS(Scenarios!$B$2:$B$120,A13,Scenarios!$H$2:$H$120,"Failure*")</f>
        <v/>
      </c>
      <c r="E13" s="3">
        <f>COUNTIFS(Scenarios!$B$2:$B$120,A13,Scenarios!$H$2:$H$120,"Blocked*")</f>
        <v/>
      </c>
      <c r="F13" s="3">
        <f>COUNTIFS(Scenarios!$B$2:$B$120,A13,Scenarios!$J$2:$J$120,"Pass")</f>
        <v/>
      </c>
      <c r="G13" s="3">
        <f>COUNTIFS(Scenarios!$B$2:$B$120,A13,Scenarios!$J$2:$J$120,"Fail")</f>
        <v/>
      </c>
      <c r="H13" s="3">
        <f>B13-F13-G13-COUNTIFS(Scenarios!$B$2:$B$120,A13,Scenarios!$J$2:$J$120,"Blocked")</f>
        <v/>
      </c>
    </row>
    <row r="14">
      <c r="A14" s="4" t="inlineStr">
        <is>
          <t>Authentication</t>
        </is>
      </c>
      <c r="B14" s="3">
        <f>COUNTIF(Scenarios!$B$2:$B$120,A14)</f>
        <v/>
      </c>
      <c r="C14" s="3">
        <f>COUNTIFS(Scenarios!$B$2:$B$120,A14,Scenarios!$H$2:$H$120,"Success")</f>
        <v/>
      </c>
      <c r="D14" s="3">
        <f>COUNTIFS(Scenarios!$B$2:$B$120,A14,Scenarios!$H$2:$H$120,"Failure*")</f>
        <v/>
      </c>
      <c r="E14" s="3">
        <f>COUNTIFS(Scenarios!$B$2:$B$120,A14,Scenarios!$H$2:$H$120,"Blocked*")</f>
        <v/>
      </c>
      <c r="F14" s="3">
        <f>COUNTIFS(Scenarios!$B$2:$B$120,A14,Scenarios!$J$2:$J$120,"Pass")</f>
        <v/>
      </c>
      <c r="G14" s="3">
        <f>COUNTIFS(Scenarios!$B$2:$B$120,A14,Scenarios!$J$2:$J$120,"Fail")</f>
        <v/>
      </c>
      <c r="H14" s="3">
        <f>B14-F14-G14-COUNTIFS(Scenarios!$B$2:$B$120,A14,Scenarios!$J$2:$J$120,"Blocked")</f>
        <v/>
      </c>
    </row>
    <row r="15">
      <c r="A15" s="4" t="inlineStr">
        <is>
          <t>Cart &amp; checkout</t>
        </is>
      </c>
      <c r="B15" s="3">
        <f>COUNTIF(Scenarios!$B$2:$B$120,A15)</f>
        <v/>
      </c>
      <c r="C15" s="3">
        <f>COUNTIFS(Scenarios!$B$2:$B$120,A15,Scenarios!$H$2:$H$120,"Success")</f>
        <v/>
      </c>
      <c r="D15" s="3">
        <f>COUNTIFS(Scenarios!$B$2:$B$120,A15,Scenarios!$H$2:$H$120,"Failure*")</f>
        <v/>
      </c>
      <c r="E15" s="3">
        <f>COUNTIFS(Scenarios!$B$2:$B$120,A15,Scenarios!$H$2:$H$120,"Blocked*")</f>
        <v/>
      </c>
      <c r="F15" s="3">
        <f>COUNTIFS(Scenarios!$B$2:$B$120,A15,Scenarios!$J$2:$J$120,"Pass")</f>
        <v/>
      </c>
      <c r="G15" s="3">
        <f>COUNTIFS(Scenarios!$B$2:$B$120,A15,Scenarios!$J$2:$J$120,"Fail")</f>
        <v/>
      </c>
      <c r="H15" s="3">
        <f>B15-F15-G15-COUNTIFS(Scenarios!$B$2:$B$120,A15,Scenarios!$J$2:$J$120,"Blocked")</f>
        <v/>
      </c>
    </row>
    <row r="16">
      <c r="A16" s="4" t="inlineStr">
        <is>
          <t>Orders (buyer)</t>
        </is>
      </c>
      <c r="B16" s="3">
        <f>COUNTIF(Scenarios!$B$2:$B$120,A16)</f>
        <v/>
      </c>
      <c r="C16" s="3">
        <f>COUNTIFS(Scenarios!$B$2:$B$120,A16,Scenarios!$H$2:$H$120,"Success")</f>
        <v/>
      </c>
      <c r="D16" s="3">
        <f>COUNTIFS(Scenarios!$B$2:$B$120,A16,Scenarios!$H$2:$H$120,"Failure*")</f>
        <v/>
      </c>
      <c r="E16" s="3">
        <f>COUNTIFS(Scenarios!$B$2:$B$120,A16,Scenarios!$H$2:$H$120,"Blocked*")</f>
        <v/>
      </c>
      <c r="F16" s="3">
        <f>COUNTIFS(Scenarios!$B$2:$B$120,A16,Scenarios!$J$2:$J$120,"Pass")</f>
        <v/>
      </c>
      <c r="G16" s="3">
        <f>COUNTIFS(Scenarios!$B$2:$B$120,A16,Scenarios!$J$2:$J$120,"Fail")</f>
        <v/>
      </c>
      <c r="H16" s="3">
        <f>B16-F16-G16-COUNTIFS(Scenarios!$B$2:$B$120,A16,Scenarios!$J$2:$J$120,"Blocked")</f>
        <v/>
      </c>
    </row>
    <row r="17">
      <c r="A17" s="4" t="inlineStr">
        <is>
          <t>Seller area</t>
        </is>
      </c>
      <c r="B17" s="3">
        <f>COUNTIF(Scenarios!$B$2:$B$120,A17)</f>
        <v/>
      </c>
      <c r="C17" s="3">
        <f>COUNTIFS(Scenarios!$B$2:$B$120,A17,Scenarios!$H$2:$H$120,"Success")</f>
        <v/>
      </c>
      <c r="D17" s="3">
        <f>COUNTIFS(Scenarios!$B$2:$B$120,A17,Scenarios!$H$2:$H$120,"Failure*")</f>
        <v/>
      </c>
      <c r="E17" s="3">
        <f>COUNTIFS(Scenarios!$B$2:$B$120,A17,Scenarios!$H$2:$H$120,"Blocked*")</f>
        <v/>
      </c>
      <c r="F17" s="3">
        <f>COUNTIFS(Scenarios!$B$2:$B$120,A17,Scenarios!$J$2:$J$120,"Pass")</f>
        <v/>
      </c>
      <c r="G17" s="3">
        <f>COUNTIFS(Scenarios!$B$2:$B$120,A17,Scenarios!$J$2:$J$120,"Fail")</f>
        <v/>
      </c>
      <c r="H17" s="3">
        <f>B17-F17-G17-COUNTIFS(Scenarios!$B$2:$B$120,A17,Scenarios!$J$2:$J$120,"Blocked")</f>
        <v/>
      </c>
    </row>
    <row r="18">
      <c r="A18" s="4" t="inlineStr">
        <is>
          <t>Back-office</t>
        </is>
      </c>
      <c r="B18" s="3">
        <f>COUNTIF(Scenarios!$B$2:$B$120,A18)</f>
        <v/>
      </c>
      <c r="C18" s="3">
        <f>COUNTIFS(Scenarios!$B$2:$B$120,A18,Scenarios!$H$2:$H$120,"Success")</f>
        <v/>
      </c>
      <c r="D18" s="3">
        <f>COUNTIFS(Scenarios!$B$2:$B$120,A18,Scenarios!$H$2:$H$120,"Failure*")</f>
        <v/>
      </c>
      <c r="E18" s="3">
        <f>COUNTIFS(Scenarios!$B$2:$B$120,A18,Scenarios!$H$2:$H$120,"Blocked*")</f>
        <v/>
      </c>
      <c r="F18" s="3">
        <f>COUNTIFS(Scenarios!$B$2:$B$120,A18,Scenarios!$J$2:$J$120,"Pass")</f>
        <v/>
      </c>
      <c r="G18" s="3">
        <f>COUNTIFS(Scenarios!$B$2:$B$120,A18,Scenarios!$J$2:$J$120,"Fail")</f>
        <v/>
      </c>
      <c r="H18" s="3">
        <f>B18-F18-G18-COUNTIFS(Scenarios!$B$2:$B$120,A18,Scenarios!$J$2:$J$120,"Blocked")</f>
        <v/>
      </c>
    </row>
    <row r="19">
      <c r="A19" s="4" t="inlineStr">
        <is>
          <t>API &amp; security</t>
        </is>
      </c>
      <c r="B19" s="3">
        <f>COUNTIF(Scenarios!$B$2:$B$120,A19)</f>
        <v/>
      </c>
      <c r="C19" s="3">
        <f>COUNTIFS(Scenarios!$B$2:$B$120,A19,Scenarios!$H$2:$H$120,"Success")</f>
        <v/>
      </c>
      <c r="D19" s="3">
        <f>COUNTIFS(Scenarios!$B$2:$B$120,A19,Scenarios!$H$2:$H$120,"Failure*")</f>
        <v/>
      </c>
      <c r="E19" s="3">
        <f>COUNTIFS(Scenarios!$B$2:$B$120,A19,Scenarios!$H$2:$H$120,"Blocked*")</f>
        <v/>
      </c>
      <c r="F19" s="3">
        <f>COUNTIFS(Scenarios!$B$2:$B$120,A19,Scenarios!$J$2:$J$120,"Pass")</f>
        <v/>
      </c>
      <c r="G19" s="3">
        <f>COUNTIFS(Scenarios!$B$2:$B$120,A19,Scenarios!$J$2:$J$120,"Fail")</f>
        <v/>
      </c>
      <c r="H19" s="3">
        <f>B19-F19-G19-COUNTIFS(Scenarios!$B$2:$B$120,A19,Scenarios!$J$2:$J$120,"Blocked")</f>
        <v/>
      </c>
    </row>
    <row r="20">
      <c r="A20" s="4" t="inlineStr">
        <is>
          <t>Operations</t>
        </is>
      </c>
      <c r="B20" s="3">
        <f>COUNTIF(Scenarios!$B$2:$B$120,A20)</f>
        <v/>
      </c>
      <c r="C20" s="3">
        <f>COUNTIFS(Scenarios!$B$2:$B$120,A20,Scenarios!$H$2:$H$120,"Success")</f>
        <v/>
      </c>
      <c r="D20" s="3">
        <f>COUNTIFS(Scenarios!$B$2:$B$120,A20,Scenarios!$H$2:$H$120,"Failure*")</f>
        <v/>
      </c>
      <c r="E20" s="3">
        <f>COUNTIFS(Scenarios!$B$2:$B$120,A20,Scenarios!$H$2:$H$120,"Blocked*")</f>
        <v/>
      </c>
      <c r="F20" s="3">
        <f>COUNTIFS(Scenarios!$B$2:$B$120,A20,Scenarios!$J$2:$J$120,"Pass")</f>
        <v/>
      </c>
      <c r="G20" s="3">
        <f>COUNTIFS(Scenarios!$B$2:$B$120,A20,Scenarios!$J$2:$J$120,"Fail")</f>
        <v/>
      </c>
      <c r="H20" s="3">
        <f>B20-F20-G20-COUNTIFS(Scenarios!$B$2:$B$120,A20,Scenarios!$J$2:$J$120,"Blocked")</f>
        <v/>
      </c>
    </row>
    <row r="21">
      <c r="A21" s="17" t="inlineStr">
        <is>
          <t>Total</t>
        </is>
      </c>
      <c r="B21" s="17">
        <f>SUM(B12:B20)</f>
        <v/>
      </c>
      <c r="C21" s="17">
        <f>SUM(C12:C20)</f>
        <v/>
      </c>
      <c r="D21" s="17">
        <f>SUM(D12:D20)</f>
        <v/>
      </c>
      <c r="E21" s="17">
        <f>SUM(E12:E20)</f>
        <v/>
      </c>
      <c r="F21" s="17">
        <f>SUM(F12:F20)</f>
        <v/>
      </c>
      <c r="G21" s="17">
        <f>SUM(G12:G20)</f>
        <v/>
      </c>
      <c r="H21" s="17">
        <f>SUM(H12:H20)</f>
        <v/>
      </c>
    </row>
    <row r="23">
      <c r="A23" s="15" t="inlineStr">
        <is>
          <t>Progress</t>
        </is>
      </c>
      <c r="B23" s="18">
        <f>IF(B21=0,0,(F21+G21)/B21)</f>
        <v/>
      </c>
      <c r="C23" s="13" t="inlineStr">
        <is>
          <t>of scenarios executed (Pass + Fail).</t>
        </is>
      </c>
    </row>
    <row r="24">
      <c r="A24" s="15" t="inlineStr">
        <is>
          <t>Pass rate</t>
        </is>
      </c>
      <c r="B24" s="18">
        <f>IF(F21+G21=0,0,F21/(F21+G21))</f>
        <v/>
      </c>
      <c r="C24" s="13" t="inlineStr">
        <is>
          <t>Pass ÷ executed. Counts update automatically from the Scenarios sheet.</t>
        </is>
      </c>
    </row>
  </sheetData>
  <mergeCells count="5">
    <mergeCell ref="B5:G5"/>
    <mergeCell ref="B8:G8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E3" sqref="E3"/>
    </sheetView>
  </sheetViews>
  <sheetFormatPr baseColWidth="8" defaultColWidth="9" defaultRowHeight="14.25"/>
  <cols>
    <col width="8" customWidth="1" min="1" max="1"/>
    <col width="16" customWidth="1" min="2" max="2"/>
    <col width="34" customWidth="1" min="3" max="3"/>
    <col width="28" customWidth="1" min="4" max="4"/>
    <col width="46" customWidth="1" min="5" max="5"/>
    <col width="22" customWidth="1" min="6" max="6"/>
    <col width="60" customWidth="1" min="7" max="7"/>
    <col width="22" customWidth="1" min="8" max="8"/>
    <col width="9" customWidth="1" min="9" max="9"/>
    <col width="12" customWidth="1" min="10" max="10"/>
    <col width="34" customWidth="1" min="11" max="11"/>
    <col width="16" customWidth="1" min="12" max="12"/>
  </cols>
  <sheetData>
    <row r="1" ht="30" customHeight="1">
      <c r="A1" s="2" t="inlineStr">
        <is>
          <t>ID</t>
        </is>
      </c>
      <c r="B1" s="2" t="inlineStr">
        <is>
          <t>Area</t>
        </is>
      </c>
      <c r="C1" s="2" t="inlineStr">
        <is>
          <t>Scenario</t>
        </is>
      </c>
      <c r="D1" s="2" t="inlineStr">
        <is>
          <t>Preconditions</t>
        </is>
      </c>
      <c r="E1" s="2" t="inlineStr">
        <is>
          <t>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Expected outcome</t>
        </is>
      </c>
      <c r="I1" s="2" t="inlineStr">
        <is>
          <t>Priority</t>
        </is>
      </c>
      <c r="J1" s="2" t="inlineStr">
        <is>
          <t>Status</t>
        </is>
      </c>
      <c r="K1" s="2" t="inlineStr">
        <is>
          <t>Actual result</t>
        </is>
      </c>
      <c r="L1" s="2" t="inlineStr">
        <is>
          <t>Tester / date</t>
        </is>
      </c>
    </row>
    <row r="2" ht="63.75" customHeight="1">
      <c r="A2" s="4" t="inlineStr">
        <is>
          <t>STF-01</t>
        </is>
      </c>
      <c r="B2" s="3" t="inlineStr">
        <is>
          <t>Storefront</t>
        </is>
      </c>
      <c r="C2" s="3" t="inlineStr">
        <is>
          <t>Home page renders the Jumia-style layout</t>
        </is>
      </c>
      <c r="D2" s="3" t="inlineStr">
        <is>
          <t>None</t>
        </is>
      </c>
      <c r="E2" s="3" t="inlineStr">
        <is>
          <t>1.
Open the home page on desktop (≥1280 px).</t>
        </is>
      </c>
      <c r="F2" s="3" t="inlineStr">
        <is>
          <t>—</t>
        </is>
      </c>
      <c r="G2" s="3" t="inlineStr">
        <is>
          <t>Navy header with search + category select; left sidebar with the 11 departments; 4-slide hero with escrow panel; category circles; Flash Deals block with countdown; trust strip; Top Categories / Newest / Featured Stores panels; 15-product showcase; escrow walkthrough; footer.</t>
        </is>
      </c>
      <c r="H2" s="7" t="inlineStr">
        <is>
          <t>Success</t>
        </is>
      </c>
      <c r="I2" s="3" t="inlineStr">
        <is>
          <t>High</t>
        </is>
      </c>
      <c r="J2" s="8" t="inlineStr">
        <is>
          <t>Pass</t>
        </is>
      </c>
      <c r="K2" s="8" t="inlineStr">
        <is>
          <t>Example: all sections rendered on Chrome 130 desktop, staging.</t>
        </is>
      </c>
      <c r="L2" s="8" t="inlineStr">
        <is>
          <t>G. Awah 2026-09-24</t>
        </is>
      </c>
    </row>
    <row r="3" ht="127.5" customHeight="1">
      <c r="A3" s="4" t="inlineStr">
        <is>
          <t>STF-02</t>
        </is>
      </c>
      <c r="B3" s="3" t="inlineStr">
        <is>
          <t>Storefront</t>
        </is>
      </c>
      <c r="C3" s="3" t="inlineStr">
        <is>
          <t>Hero carousel controls</t>
        </is>
      </c>
      <c r="D3" s="3" t="inlineStr">
        <is>
          <t>Home page open</t>
        </is>
      </c>
      <c r="E3" s="3" t="inlineStr">
        <is>
          <t>1.
Wait 7 s.
2.
Click the right/left arrows.
3.
Click a dot.
4.
Focus the hero and press ← →.
5.
Hover the hero.</t>
        </is>
      </c>
      <c r="F3" s="3" t="inlineStr">
        <is>
          <t>—</t>
        </is>
      </c>
      <c r="G3" s="3" t="inlineStr">
        <is>
          <t>Slides auto-advance every ~6.5 s; arrows, dots and keyboard change slides; autoplay pauses while hovering.</t>
        </is>
      </c>
      <c r="H3" s="7" t="inlineStr">
        <is>
          <t>Success</t>
        </is>
      </c>
      <c r="I3" s="3" t="inlineStr">
        <is>
          <t>Medium</t>
        </is>
      </c>
      <c r="J3" s="9" t="inlineStr"/>
      <c r="K3" s="9" t="inlineStr"/>
      <c r="L3" s="9" t="inlineStr"/>
    </row>
    <row r="4" ht="76.5" customHeight="1">
      <c r="A4" s="4" t="inlineStr">
        <is>
          <t>STF-03</t>
        </is>
      </c>
      <c r="B4" s="3" t="inlineStr">
        <is>
          <t>Storefront</t>
        </is>
      </c>
      <c r="C4" s="3" t="inlineStr">
        <is>
          <t>Language switch with flags</t>
        </is>
      </c>
      <c r="D4" s="3" t="inlineStr">
        <is>
          <t>None</t>
        </is>
      </c>
      <c r="E4" s="3" t="inlineStr">
        <is>
          <t>1.
Click the French flag in the header.
2.
Browse home, a category, a product, the login page.
3.
Switch back with the UK flag.</t>
        </is>
      </c>
      <c r="F4" s="3" t="inlineStr">
        <is>
          <t>—</t>
        </is>
      </c>
      <c r="G4" s="3" t="inlineStr">
        <is>
          <t>URL becomes /fr/…; every visible text is French (header, sidebar, buttons, footer); switching back restores English at the same page.</t>
        </is>
      </c>
      <c r="H4" s="7" t="inlineStr">
        <is>
          <t>Success</t>
        </is>
      </c>
      <c r="I4" s="3" t="inlineStr">
        <is>
          <t>High</t>
        </is>
      </c>
      <c r="J4" s="9" t="inlineStr"/>
      <c r="K4" s="9" t="inlineStr"/>
      <c r="L4" s="9" t="inlineStr"/>
    </row>
    <row r="5" ht="76.5" customHeight="1">
      <c r="A5" s="4" t="inlineStr">
        <is>
          <t>STF-04</t>
        </is>
      </c>
      <c r="B5" s="3" t="inlineStr">
        <is>
          <t>Storefront</t>
        </is>
      </c>
      <c r="C5" s="3" t="inlineStr">
        <is>
          <t>Dark mode</t>
        </is>
      </c>
      <c r="D5" s="3" t="inlineStr">
        <is>
          <t>None</t>
        </is>
      </c>
      <c r="E5" s="3" t="inlineStr">
        <is>
          <t>1.
Click the moon/sun toggle.
2.
Reload.
3.
Open the deals page.</t>
        </is>
      </c>
      <c r="F5" s="3" t="inlineStr">
        <is>
          <t>—</t>
        </is>
      </c>
      <c r="G5" s="3" t="inlineStr">
        <is>
          <t>Whole site switches theme, choice persists after reload, headings and prices stay readable on dark backgrounds.</t>
        </is>
      </c>
      <c r="H5" s="7" t="inlineStr">
        <is>
          <t>Success</t>
        </is>
      </c>
      <c r="I5" s="3" t="inlineStr">
        <is>
          <t>Medium</t>
        </is>
      </c>
      <c r="J5" s="9" t="inlineStr"/>
      <c r="K5" s="9" t="inlineStr"/>
      <c r="L5" s="9" t="inlineStr"/>
    </row>
    <row r="6" ht="102" customHeight="1">
      <c r="A6" s="4" t="inlineStr">
        <is>
          <t>STF-05</t>
        </is>
      </c>
      <c r="B6" s="3" t="inlineStr">
        <is>
          <t>Storefront</t>
        </is>
      </c>
      <c r="C6" s="3" t="inlineStr">
        <is>
          <t>Mobile layout</t>
        </is>
      </c>
      <c r="D6" s="3" t="inlineStr">
        <is>
          <t>Phone or browser at 375 px</t>
        </is>
      </c>
      <c r="E6" s="3" t="inlineStr">
        <is>
          <t>1.
Open home.
2.
Scroll every section.
3.
Swipe the category and deal rails.
4.
Check the bottom bar.</t>
        </is>
      </c>
      <c r="F6" s="3" t="inlineStr">
        <is>
          <t>—</t>
        </is>
      </c>
      <c r="G6" s="3" t="inlineStr">
        <is>
          <t>White two-row header (menu, logo, flag, bell, wishlist, cart + search field); rails scroll horizontally; fixed bottom bar with Home / Categories / Deals / Wishlist / Account; no horizontal page scroll; chat button sits above the bar.</t>
        </is>
      </c>
      <c r="H6" s="7" t="inlineStr">
        <is>
          <t>Success</t>
        </is>
      </c>
      <c r="I6" s="3" t="inlineStr">
        <is>
          <t>High</t>
        </is>
      </c>
      <c r="J6" s="9" t="inlineStr"/>
      <c r="K6" s="9" t="inlineStr"/>
      <c r="L6" s="9" t="inlineStr"/>
    </row>
    <row r="7" ht="25.5" customHeight="1">
      <c r="A7" s="4" t="inlineStr">
        <is>
          <t>STF-06</t>
        </is>
      </c>
      <c r="B7" s="3" t="inlineStr">
        <is>
          <t>Storefront</t>
        </is>
      </c>
      <c r="C7" s="3" t="inlineStr">
        <is>
          <t>Bottom bar Account while logged out</t>
        </is>
      </c>
      <c r="D7" s="3" t="inlineStr">
        <is>
          <t>Logged out, mobile</t>
        </is>
      </c>
      <c r="E7" s="3" t="inlineStr">
        <is>
          <t>1.
Tap Account in the bottom bar.</t>
        </is>
      </c>
      <c r="F7" s="3" t="inlineStr">
        <is>
          <t>—</t>
        </is>
      </c>
      <c r="G7" s="3" t="inlineStr">
        <is>
          <t>Login page opens.</t>
        </is>
      </c>
      <c r="H7" s="7" t="inlineStr">
        <is>
          <t>Success</t>
        </is>
      </c>
      <c r="I7" s="3" t="inlineStr">
        <is>
          <t>Low</t>
        </is>
      </c>
      <c r="J7" s="9" t="inlineStr"/>
      <c r="K7" s="9" t="inlineStr"/>
      <c r="L7" s="9" t="inlineStr"/>
    </row>
    <row r="8" ht="76.5" customHeight="1">
      <c r="A8" s="4" t="inlineStr">
        <is>
          <t>STF-07</t>
        </is>
      </c>
      <c r="B8" s="3" t="inlineStr">
        <is>
          <t>Storefront</t>
        </is>
      </c>
      <c r="C8" s="3" t="inlineStr">
        <is>
          <t>Search suggestions appear instantly</t>
        </is>
      </c>
      <c r="D8" s="3" t="inlineStr">
        <is>
          <t>None</t>
        </is>
      </c>
      <c r="E8" s="3" t="inlineStr">
        <is>
          <t>1.
Click the header search.
2.
Type "sofa".
3.
Wait half a second.</t>
        </is>
      </c>
      <c r="F8" s="3" t="inlineStr">
        <is>
          <t>sofa</t>
        </is>
      </c>
      <c r="G8" s="3" t="inlineStr">
        <is>
          <t>Dropdown shows "Search for “sofa”", up to 5 products with thumbnail/category/price (matching text in bold), the Modern Sofas category with its parent, and matching stores.</t>
        </is>
      </c>
      <c r="H8" s="7" t="inlineStr">
        <is>
          <t>Success</t>
        </is>
      </c>
      <c r="I8" s="3" t="inlineStr">
        <is>
          <t>High</t>
        </is>
      </c>
      <c r="J8" s="9" t="inlineStr"/>
      <c r="K8" s="9" t="inlineStr"/>
      <c r="L8" s="9" t="inlineStr"/>
    </row>
    <row r="9" ht="25.5" customHeight="1">
      <c r="A9" s="4" t="inlineStr">
        <is>
          <t>STF-08</t>
        </is>
      </c>
      <c r="B9" s="3" t="inlineStr">
        <is>
          <t>Storefront</t>
        </is>
      </c>
      <c r="C9" s="3" t="inlineStr">
        <is>
          <t>Suggestions need two characters</t>
        </is>
      </c>
      <c r="D9" s="3" t="inlineStr">
        <is>
          <t>None</t>
        </is>
      </c>
      <c r="E9" s="3" t="inlineStr">
        <is>
          <t>1.
Type a single letter in the search.</t>
        </is>
      </c>
      <c r="F9" s="3" t="inlineStr">
        <is>
          <t>s</t>
        </is>
      </c>
      <c r="G9" s="3" t="inlineStr">
        <is>
          <t>No dropdown rows besides recent searches; nothing is fetched.</t>
        </is>
      </c>
      <c r="H9" s="10" t="inlineStr">
        <is>
          <t>Failure (expected error)</t>
        </is>
      </c>
      <c r="I9" s="3" t="inlineStr">
        <is>
          <t>Low</t>
        </is>
      </c>
      <c r="J9" s="9" t="inlineStr"/>
      <c r="K9" s="9" t="inlineStr"/>
      <c r="L9" s="9" t="inlineStr"/>
    </row>
    <row r="10" ht="51" customHeight="1">
      <c r="A10" s="4" t="inlineStr">
        <is>
          <t>STF-09</t>
        </is>
      </c>
      <c r="B10" s="3" t="inlineStr">
        <is>
          <t>Storefront</t>
        </is>
      </c>
      <c r="C10" s="3" t="inlineStr">
        <is>
          <t>Keyboard navigation in suggestions</t>
        </is>
      </c>
      <c r="D10" s="3" t="inlineStr">
        <is>
          <t>Dropdown open with results</t>
        </is>
      </c>
      <c r="E10" s="3" t="inlineStr">
        <is>
          <t>1.
Press ↓ twice.
2.
Press Enter.</t>
        </is>
      </c>
      <c r="F10" s="3" t="inlineStr">
        <is>
          <t>sofa</t>
        </is>
      </c>
      <c r="G10" s="3" t="inlineStr">
        <is>
          <t>Second row (first product) highlights; Enter opens that product page.</t>
        </is>
      </c>
      <c r="H10" s="7" t="inlineStr">
        <is>
          <t>Success</t>
        </is>
      </c>
      <c r="I10" s="3" t="inlineStr">
        <is>
          <t>Medium</t>
        </is>
      </c>
      <c r="J10" s="9" t="inlineStr"/>
      <c r="K10" s="9" t="inlineStr"/>
      <c r="L10" s="9" t="inlineStr"/>
    </row>
    <row r="11" ht="51" customHeight="1">
      <c r="A11" s="4" t="inlineStr">
        <is>
          <t>STF-10</t>
        </is>
      </c>
      <c r="B11" s="3" t="inlineStr">
        <is>
          <t>Storefront</t>
        </is>
      </c>
      <c r="C11" s="3" t="inlineStr">
        <is>
          <t>Search with no matches</t>
        </is>
      </c>
      <c r="D11" s="3" t="inlineStr">
        <is>
          <t>None</t>
        </is>
      </c>
      <c r="E11" s="3" t="inlineStr">
        <is>
          <t>1.
Type "zzzzqq".
2.
Press Enter.</t>
        </is>
      </c>
      <c r="F11" s="3" t="inlineStr">
        <is>
          <t>zzzzqq</t>
        </is>
      </c>
      <c r="G11" s="3" t="inlineStr">
        <is>
          <t>Dropdown says no matches; Enter opens /search with the empty-results message.</t>
        </is>
      </c>
      <c r="H11" s="10" t="inlineStr">
        <is>
          <t>Failure (expected error)</t>
        </is>
      </c>
      <c r="I11" s="3" t="inlineStr">
        <is>
          <t>Low</t>
        </is>
      </c>
      <c r="J11" s="9" t="inlineStr"/>
      <c r="K11" s="9" t="inlineStr"/>
      <c r="L11" s="9" t="inlineStr"/>
    </row>
    <row r="12" ht="76.5" customHeight="1">
      <c r="A12" s="4" t="inlineStr">
        <is>
          <t>STF-11</t>
        </is>
      </c>
      <c r="B12" s="3" t="inlineStr">
        <is>
          <t>Storefront</t>
        </is>
      </c>
      <c r="C12" s="3" t="inlineStr">
        <is>
          <t>Search results page and category filter</t>
        </is>
      </c>
      <c r="D12" s="3" t="inlineStr">
        <is>
          <t>None</t>
        </is>
      </c>
      <c r="E12" s="3" t="inlineStr">
        <is>
          <t>1.
Choose "Fashion" in the header select.
2.
Type "dress".
3.
Submit.</t>
        </is>
      </c>
      <c r="F12" s="3" t="inlineStr">
        <is>
          <t>dress + Fashion</t>
        </is>
      </c>
      <c r="G12" s="3" t="inlineStr">
        <is>
          <t>/search?q=dress&amp;category=fashion lists only fashion listings; stores tab lists matching stores.</t>
        </is>
      </c>
      <c r="H12" s="7" t="inlineStr">
        <is>
          <t>Success</t>
        </is>
      </c>
      <c r="I12" s="3" t="inlineStr">
        <is>
          <t>Medium</t>
        </is>
      </c>
      <c r="J12" s="9" t="inlineStr"/>
      <c r="K12" s="9" t="inlineStr"/>
      <c r="L12" s="9" t="inlineStr"/>
    </row>
    <row r="13" ht="51" customHeight="1">
      <c r="A13" s="4" t="inlineStr">
        <is>
          <t>STF-12</t>
        </is>
      </c>
      <c r="B13" s="3" t="inlineStr">
        <is>
          <t>Storefront</t>
        </is>
      </c>
      <c r="C13" s="3" t="inlineStr">
        <is>
          <t>Recent searches</t>
        </is>
      </c>
      <c r="D13" s="3" t="inlineStr">
        <is>
          <t>One search already made</t>
        </is>
      </c>
      <c r="E13" s="3" t="inlineStr">
        <is>
          <t>1.
Focus the empty search box.
2.
Click Clear.</t>
        </is>
      </c>
      <c r="F13" s="3" t="inlineStr">
        <is>
          <t>—</t>
        </is>
      </c>
      <c r="G13" s="3" t="inlineStr">
        <is>
          <t>Recent terms listed with a clock icon; Clear empties the list (stored per browser only).</t>
        </is>
      </c>
      <c r="H13" s="7" t="inlineStr">
        <is>
          <t>Success</t>
        </is>
      </c>
      <c r="I13" s="3" t="inlineStr">
        <is>
          <t>Low</t>
        </is>
      </c>
      <c r="J13" s="9" t="inlineStr"/>
      <c r="K13" s="9" t="inlineStr"/>
      <c r="L13" s="9" t="inlineStr"/>
    </row>
    <row r="14" ht="76.5" customHeight="1">
      <c r="A14" s="4" t="inlineStr">
        <is>
          <t>STF-13</t>
        </is>
      </c>
      <c r="B14" s="3" t="inlineStr">
        <is>
          <t>Storefront</t>
        </is>
      </c>
      <c r="C14" s="3" t="inlineStr">
        <is>
          <t>Category page with sub-categories</t>
        </is>
      </c>
      <c r="D14" s="3" t="inlineStr">
        <is>
          <t>None</t>
        </is>
      </c>
      <c r="E14" s="3" t="inlineStr">
        <is>
          <t>1.
Open Frames &amp; Wall Art.
2.
Click a sub-category chip.
3.
Use the sort and condition filters.</t>
        </is>
      </c>
      <c r="F14" s="3" t="inlineStr">
        <is>
          <t>/categories/frames-wall-art</t>
        </is>
      </c>
      <c r="G14" s="3" t="inlineStr">
        <is>
          <t>Root page shows listings of all five sub-categories; chip narrows to one; filters and pagination work.</t>
        </is>
      </c>
      <c r="H14" s="7" t="inlineStr">
        <is>
          <t>Success</t>
        </is>
      </c>
      <c r="I14" s="3" t="inlineStr">
        <is>
          <t>High</t>
        </is>
      </c>
      <c r="J14" s="9" t="inlineStr"/>
      <c r="K14" s="9" t="inlineStr"/>
      <c r="L14" s="9" t="inlineStr"/>
    </row>
    <row r="15" ht="51" customHeight="1">
      <c r="A15" s="4" t="inlineStr">
        <is>
          <t>STF-14</t>
        </is>
      </c>
      <c r="B15" s="3" t="inlineStr">
        <is>
          <t>Storefront</t>
        </is>
      </c>
      <c r="C15" s="3" t="inlineStr">
        <is>
          <t>Product page</t>
        </is>
      </c>
      <c r="D15" s="3" t="inlineStr">
        <is>
          <t>None</t>
        </is>
      </c>
      <c r="E15" s="3" t="inlineStr">
        <is>
          <t>1.
Open a Smart Trust product.
2.
Scroll.</t>
        </is>
      </c>
      <c r="F15" s="3" t="inlineStr">
        <is>
          <t>/products/silver-crest-sc-1589-2-bowl-blender</t>
        </is>
      </c>
      <c r="G15" s="3" t="inlineStr">
        <is>
          <t>Gallery, price, condition, location, store link, escrow reassurance, "Cash on delivery available" badge, description, Add to cart / Buy now / wishlist.</t>
        </is>
      </c>
      <c r="H15" s="7" t="inlineStr">
        <is>
          <t>Success</t>
        </is>
      </c>
      <c r="I15" s="3" t="inlineStr">
        <is>
          <t>High</t>
        </is>
      </c>
      <c r="J15" s="9" t="inlineStr"/>
      <c r="K15" s="9" t="inlineStr"/>
      <c r="L15" s="9" t="inlineStr"/>
    </row>
    <row r="16" ht="25.5" customHeight="1">
      <c r="A16" s="4" t="inlineStr">
        <is>
          <t>STF-15</t>
        </is>
      </c>
      <c r="B16" s="3" t="inlineStr">
        <is>
          <t>Storefront</t>
        </is>
      </c>
      <c r="C16" s="3" t="inlineStr">
        <is>
          <t>Unknown product slug</t>
        </is>
      </c>
      <c r="D16" s="3" t="inlineStr">
        <is>
          <t>None</t>
        </is>
      </c>
      <c r="E16" s="3" t="inlineStr">
        <is>
          <t>1.
Open /products/does-not-exist.</t>
        </is>
      </c>
      <c r="F16" s="3" t="inlineStr">
        <is>
          <t>—</t>
        </is>
      </c>
      <c r="G16" s="3" t="inlineStr">
        <is>
          <t>404 page with a link back to products.</t>
        </is>
      </c>
      <c r="H16" s="10" t="inlineStr">
        <is>
          <t>Failure (expected error)</t>
        </is>
      </c>
      <c r="I16" s="3" t="inlineStr">
        <is>
          <t>Low</t>
        </is>
      </c>
      <c r="J16" s="9" t="inlineStr"/>
      <c r="K16" s="9" t="inlineStr"/>
      <c r="L16" s="9" t="inlineStr"/>
    </row>
    <row r="17" ht="25.5" customHeight="1">
      <c r="A17" s="4" t="inlineStr">
        <is>
          <t>STF-16</t>
        </is>
      </c>
      <c r="B17" s="3" t="inlineStr">
        <is>
          <t>Storefront</t>
        </is>
      </c>
      <c r="C17" s="3" t="inlineStr">
        <is>
          <t>Deals page</t>
        </is>
      </c>
      <c r="D17" s="3" t="inlineStr">
        <is>
          <t>None</t>
        </is>
      </c>
      <c r="E17" s="3" t="inlineStr">
        <is>
          <t>1.
Open /deals.</t>
        </is>
      </c>
      <c r="F17" s="3" t="inlineStr">
        <is>
          <t>—</t>
        </is>
      </c>
      <c r="G17" s="3" t="inlineStr">
        <is>
          <t>Only listings whose seller set a higher old price; each card shows the -x% badge and struck-through old price.</t>
        </is>
      </c>
      <c r="H17" s="7" t="inlineStr">
        <is>
          <t>Success</t>
        </is>
      </c>
      <c r="I17" s="3" t="inlineStr">
        <is>
          <t>Medium</t>
        </is>
      </c>
      <c r="J17" s="9" t="inlineStr"/>
      <c r="K17" s="9" t="inlineStr"/>
      <c r="L17" s="9" t="inlineStr"/>
    </row>
    <row r="18" ht="25.5" customHeight="1">
      <c r="A18" s="4" t="inlineStr">
        <is>
          <t>STF-17</t>
        </is>
      </c>
      <c r="B18" s="3" t="inlineStr">
        <is>
          <t>Storefront</t>
        </is>
      </c>
      <c r="C18" s="3" t="inlineStr">
        <is>
          <t>Store page</t>
        </is>
      </c>
      <c r="D18" s="3" t="inlineStr">
        <is>
          <t>None</t>
        </is>
      </c>
      <c r="E18" s="3" t="inlineStr">
        <is>
          <t>1.
Open /stores/smart-trust.</t>
        </is>
      </c>
      <c r="F18" s="3" t="inlineStr">
        <is>
          <t>—</t>
        </is>
      </c>
      <c r="G18" s="3" t="inlineStr">
        <is>
          <t>Logo, description, location, member-since, 96 listings with filters, reviews section.</t>
        </is>
      </c>
      <c r="H18" s="7" t="inlineStr">
        <is>
          <t>Success</t>
        </is>
      </c>
      <c r="I18" s="3" t="inlineStr">
        <is>
          <t>Medium</t>
        </is>
      </c>
      <c r="J18" s="9" t="inlineStr"/>
      <c r="K18" s="9" t="inlineStr"/>
      <c r="L18" s="9" t="inlineStr"/>
    </row>
    <row r="19" ht="51" customHeight="1">
      <c r="A19" s="4" t="inlineStr">
        <is>
          <t>STF-18</t>
        </is>
      </c>
      <c r="B19" s="3" t="inlineStr">
        <is>
          <t>Storefront</t>
        </is>
      </c>
      <c r="C19" s="3" t="inlineStr">
        <is>
          <t>SEO files</t>
        </is>
      </c>
      <c r="D19" s="3" t="inlineStr">
        <is>
          <t>None</t>
        </is>
      </c>
      <c r="E19" s="3" t="inlineStr">
        <is>
          <t>1.
Open /sitemap.xml and /robots.txt.
2.
View page source of a product page.</t>
        </is>
      </c>
      <c r="F19" s="3" t="inlineStr">
        <is>
          <t>—</t>
        </is>
      </c>
      <c r="G19" s="3" t="inlineStr">
        <is>
          <t>Sitemap lists EN and FR URLs with hreflang; robots allows crawling and points to the sitemap; product page has canonical, OG tags and JSON-LD.</t>
        </is>
      </c>
      <c r="H19" s="7" t="inlineStr">
        <is>
          <t>Success</t>
        </is>
      </c>
      <c r="I19" s="3" t="inlineStr">
        <is>
          <t>Low</t>
        </is>
      </c>
      <c r="J19" s="9" t="inlineStr"/>
      <c r="K19" s="9" t="inlineStr"/>
      <c r="L19" s="9" t="inlineStr"/>
    </row>
    <row r="20" ht="51" customHeight="1">
      <c r="A20" s="4" t="inlineStr">
        <is>
          <t>STF-19</t>
        </is>
      </c>
      <c r="B20" s="3" t="inlineStr">
        <is>
          <t>Storefront</t>
        </is>
      </c>
      <c r="C20" s="3" t="inlineStr">
        <is>
          <t>PWA install prompt</t>
        </is>
      </c>
      <c r="D20" s="3" t="inlineStr">
        <is>
          <t>First visit in a fresh browser profile</t>
        </is>
      </c>
      <c r="E20" s="3" t="inlineStr">
        <is>
          <t>1.
Open the home page.
2.
Wait.</t>
        </is>
      </c>
      <c r="F20" s="3" t="inlineStr">
        <is>
          <t>—</t>
        </is>
      </c>
      <c r="G20" s="3" t="inlineStr">
        <is>
          <t>Install prompt appears once (or the iOS hint on iPhone); dismiss keeps it hidden; app can be installed from the browser menu.</t>
        </is>
      </c>
      <c r="H20" s="7" t="inlineStr">
        <is>
          <t>Success</t>
        </is>
      </c>
      <c r="I20" s="3" t="inlineStr">
        <is>
          <t>Low</t>
        </is>
      </c>
      <c r="J20" s="9" t="inlineStr"/>
      <c r="K20" s="9" t="inlineStr"/>
      <c r="L20" s="9" t="inlineStr"/>
    </row>
    <row r="21" ht="51" customHeight="1">
      <c r="A21" s="4" t="inlineStr">
        <is>
          <t>STF-20</t>
        </is>
      </c>
      <c r="B21" s="3" t="inlineStr">
        <is>
          <t>Storefront</t>
        </is>
      </c>
      <c r="C21" s="3" t="inlineStr">
        <is>
          <t>Chat assistant in built-in mode (no Gemini key)</t>
        </is>
      </c>
      <c r="D21" s="3" t="inlineStr">
        <is>
          <t>GEMINI_API_KEY empty (or Gemini quota/outage)</t>
        </is>
      </c>
      <c r="E21" s="3" t="inlineStr">
        <is>
          <t>1.
Click the round chat button.
2.
Ask "sofa under 400000", then "je cherche un canapé".
3.
Ask "how does escrow work?" and "talk to a person".</t>
        </is>
      </c>
      <c r="F21" s="3" t="inlineStr">
        <is>
          <t>sofa under 400000</t>
        </is>
      </c>
      <c r="G21" s="3" t="inlineStr">
        <is>
          <t>Status shows Online; replies list real listings as cards (budget respected, French understood); escrow answer links to /how-it-works; "Talk to a person" opens WhatsApp +237678240437. Footer note says quick answers from live listings.</t>
        </is>
      </c>
      <c r="H21" s="11" t="inlineStr">
        <is>
          <t>Success</t>
        </is>
      </c>
      <c r="I21" s="3" t="inlineStr">
        <is>
          <t>Low</t>
        </is>
      </c>
      <c r="J21" s="9" t="inlineStr"/>
      <c r="K21" s="9" t="inlineStr"/>
      <c r="L21" s="9" t="inlineStr"/>
    </row>
    <row r="22" ht="51" customHeight="1">
      <c r="A22" s="4" t="inlineStr">
        <is>
          <t>STF-21</t>
        </is>
      </c>
      <c r="B22" s="3" t="inlineStr">
        <is>
          <t>Storefront</t>
        </is>
      </c>
      <c r="C22" s="3" t="inlineStr">
        <is>
          <t>Chat assistant with Gemini (gemini-2.5-flash)</t>
        </is>
      </c>
      <c r="D22" s="3" t="inlineStr">
        <is>
          <t>GEMINI_API_KEY set (same key as ELIZFLOW)</t>
        </is>
      </c>
      <c r="E22" s="3" t="inlineStr">
        <is>
          <t>1.
Ask for "a blender under 15,000".
2.
Ask to track an order while logged in.</t>
        </is>
      </c>
      <c r="F22" s="3" t="inlineStr">
        <is>
          <t>—</t>
        </is>
      </c>
      <c r="G22" s="3" t="inlineStr">
        <is>
          <t>Natural-language answers from Gemini listing real products as cards with links; order status matches the account; footer note says answers are AI-generated. If Gemini fails, the chat silently falls back to built-in answers.</t>
        </is>
      </c>
      <c r="H22" s="7" t="inlineStr">
        <is>
          <t>Success</t>
        </is>
      </c>
      <c r="I22" s="3" t="inlineStr">
        <is>
          <t>Medium</t>
        </is>
      </c>
      <c r="J22" s="9" t="inlineStr"/>
      <c r="K22" s="9" t="inlineStr"/>
      <c r="L22" s="9" t="inlineStr"/>
    </row>
    <row r="23" ht="51" customHeight="1">
      <c r="A23" s="4" t="inlineStr">
        <is>
          <t>FLS-01</t>
        </is>
      </c>
      <c r="B23" s="3" t="inlineStr">
        <is>
          <t>Flash deals</t>
        </is>
      </c>
      <c r="C23" s="3" t="inlineStr">
        <is>
          <t>Live campaign on the home page</t>
        </is>
      </c>
      <c r="D23" s="3" t="inlineStr">
        <is>
          <t>A published campaign is active with approved items</t>
        </is>
      </c>
      <c r="E23" s="3" t="inlineStr">
        <is>
          <t>1.
Open home.
2.
Look at the Flash Deals block.</t>
        </is>
      </c>
      <c r="F23" s="3" t="inlineStr">
        <is>
          <t>—</t>
        </is>
      </c>
      <c r="G23" s="3" t="inlineStr">
        <is>
          <t>Block title is the campaign name, subtitle its description, countdown labelled "Ends in" counts to the campaign end; cards show campaign price with the old price struck through.</t>
        </is>
      </c>
      <c r="H23" s="7" t="inlineStr">
        <is>
          <t>Success</t>
        </is>
      </c>
      <c r="I23" s="3" t="inlineStr">
        <is>
          <t>High</t>
        </is>
      </c>
      <c r="J23" s="9" t="inlineStr"/>
      <c r="K23" s="9" t="inlineStr"/>
      <c r="L23" s="9" t="inlineStr"/>
    </row>
    <row r="24" ht="38.25" customHeight="1">
      <c r="A24" s="4" t="inlineStr">
        <is>
          <t>FLS-02</t>
        </is>
      </c>
      <c r="B24" s="3" t="inlineStr">
        <is>
          <t>Flash deals</t>
        </is>
      </c>
      <c r="C24" s="3" t="inlineStr">
        <is>
          <t>No live campaign</t>
        </is>
      </c>
      <c r="D24" s="3" t="inlineStr">
        <is>
          <t>No active campaign</t>
        </is>
      </c>
      <c r="E24" s="3" t="inlineStr">
        <is>
          <t>1.
Open home.</t>
        </is>
      </c>
      <c r="F24" s="3" t="inlineStr">
        <is>
          <t>—</t>
        </is>
      </c>
      <c r="G24" s="3" t="inlineStr">
        <is>
          <t>Block shows seller discounts, "Limited time offers" and a "Deals refresh in" countdown to midnight (or "Next flash sale: …" with a "Starts in" countdown if one is scheduled).</t>
        </is>
      </c>
      <c r="H24" s="7" t="inlineStr">
        <is>
          <t>Success</t>
        </is>
      </c>
      <c r="I24" s="3" t="inlineStr">
        <is>
          <t>Medium</t>
        </is>
      </c>
      <c r="J24" s="9" t="inlineStr"/>
      <c r="K24" s="9" t="inlineStr"/>
      <c r="L24" s="9" t="inlineStr"/>
    </row>
    <row r="25" ht="25.5" customHeight="1">
      <c r="A25" s="4" t="inlineStr">
        <is>
          <t>FLS-03</t>
        </is>
      </c>
      <c r="B25" s="3" t="inlineStr">
        <is>
          <t>Flash deals</t>
        </is>
      </c>
      <c r="C25" s="3" t="inlineStr">
        <is>
          <t>Deals page banner</t>
        </is>
      </c>
      <c r="D25" s="3" t="inlineStr">
        <is>
          <t>Campaign live (or scheduled)</t>
        </is>
      </c>
      <c r="E25" s="3" t="inlineStr">
        <is>
          <t>1.
Open /deals.</t>
        </is>
      </c>
      <c r="F25" s="3" t="inlineStr">
        <is>
          <t>—</t>
        </is>
      </c>
      <c r="G25" s="3" t="inlineStr">
        <is>
          <t>Banner "Live now" with countdown and the campaign items (or "Coming soon" with start date and countdown).</t>
        </is>
      </c>
      <c r="H25" s="7" t="inlineStr">
        <is>
          <t>Success</t>
        </is>
      </c>
      <c r="I25" s="3" t="inlineStr">
        <is>
          <t>Medium</t>
        </is>
      </c>
      <c r="J25" s="9" t="inlineStr"/>
      <c r="K25" s="9" t="inlineStr"/>
      <c r="L25" s="9" t="inlineStr"/>
    </row>
    <row r="26" ht="38.25" customHeight="1">
      <c r="A26" s="4" t="inlineStr">
        <is>
          <t>FLS-04</t>
        </is>
      </c>
      <c r="B26" s="3" t="inlineStr">
        <is>
          <t>Flash deals</t>
        </is>
      </c>
      <c r="C26" s="3" t="inlineStr">
        <is>
          <t>Campaign ends on screen</t>
        </is>
      </c>
      <c r="D26" s="3" t="inlineStr">
        <is>
          <t>Campaign ending within a minute</t>
        </is>
      </c>
      <c r="E26" s="3" t="inlineStr">
        <is>
          <t>1.
Keep the home page open until the countdown reaches 00:00:00.</t>
        </is>
      </c>
      <c r="F26" s="3" t="inlineStr">
        <is>
          <t>—</t>
        </is>
      </c>
      <c r="G26" s="3" t="inlineStr">
        <is>
          <t>Page refreshes itself; the campaign block is replaced by regular deals; within 30 s the listing prices are back to normal.</t>
        </is>
      </c>
      <c r="H26" s="7" t="inlineStr">
        <is>
          <t>Success</t>
        </is>
      </c>
      <c r="I26" s="3" t="inlineStr">
        <is>
          <t>Medium</t>
        </is>
      </c>
      <c r="J26" s="9" t="inlineStr"/>
      <c r="K26" s="9" t="inlineStr"/>
      <c r="L26" s="9" t="inlineStr"/>
    </row>
    <row r="27" ht="51" customHeight="1">
      <c r="A27" s="4" t="inlineStr">
        <is>
          <t>AUT-01</t>
        </is>
      </c>
      <c r="B27" s="3" t="inlineStr">
        <is>
          <t>Authentication</t>
        </is>
      </c>
      <c r="C27" s="3" t="inlineStr">
        <is>
          <t>Register with email + OTP</t>
        </is>
      </c>
      <c r="D27" s="3" t="inlineStr">
        <is>
          <t>RESEND_API_KEY configured</t>
        </is>
      </c>
      <c r="E27" s="3" t="inlineStr">
        <is>
          <t>1.
Register with a new email.
2.
Enter the 6-digit code from the email.</t>
        </is>
      </c>
      <c r="F27" s="3" t="inlineStr">
        <is>
          <t>new email</t>
        </is>
      </c>
      <c r="G27" s="3" t="inlineStr">
        <is>
          <t>OTP email arrives within a minute; account verified; redirected signed in.</t>
        </is>
      </c>
      <c r="H27" s="11" t="inlineStr">
        <is>
          <t>Blocked (needs provider key)</t>
        </is>
      </c>
      <c r="I27" s="3" t="inlineStr">
        <is>
          <t>High</t>
        </is>
      </c>
      <c r="J27" s="9" t="inlineStr"/>
      <c r="K27" s="9" t="inlineStr"/>
      <c r="L27" s="9" t="inlineStr"/>
    </row>
    <row r="28" ht="25.5" customHeight="1">
      <c r="A28" s="4" t="inlineStr">
        <is>
          <t>AUT-02</t>
        </is>
      </c>
      <c r="B28" s="3" t="inlineStr">
        <is>
          <t>Authentication</t>
        </is>
      </c>
      <c r="C28" s="3" t="inlineStr">
        <is>
          <t>Register with an existing email</t>
        </is>
      </c>
      <c r="D28" s="3" t="inlineStr">
        <is>
          <t>Account exists</t>
        </is>
      </c>
      <c r="E28" s="3" t="inlineStr">
        <is>
          <t>1.
Register with test@smartmarket.dev.</t>
        </is>
      </c>
      <c r="F28" s="3" t="inlineStr">
        <is>
          <t>test@smartmarket.dev</t>
        </is>
      </c>
      <c r="G28" s="3" t="inlineStr">
        <is>
          <t>Error "email already in use"; no account created.</t>
        </is>
      </c>
      <c r="H28" s="10" t="inlineStr">
        <is>
          <t>Failure (expected error)</t>
        </is>
      </c>
      <c r="I28" s="3" t="inlineStr">
        <is>
          <t>Medium</t>
        </is>
      </c>
      <c r="J28" s="9" t="inlineStr"/>
      <c r="K28" s="9" t="inlineStr"/>
      <c r="L28" s="9" t="inlineStr"/>
    </row>
    <row r="29" ht="25.5" customHeight="1">
      <c r="A29" s="4" t="inlineStr">
        <is>
          <t>AUT-03</t>
        </is>
      </c>
      <c r="B29" s="3" t="inlineStr">
        <is>
          <t>Authentication</t>
        </is>
      </c>
      <c r="C29" s="3" t="inlineStr">
        <is>
          <t>Login</t>
        </is>
      </c>
      <c r="D29" s="3" t="inlineStr">
        <is>
          <t>Account exists</t>
        </is>
      </c>
      <c r="E29" s="3" t="inlineStr">
        <is>
          <t>1.
Log in with a valid account.</t>
        </is>
      </c>
      <c r="F29" s="3" t="inlineStr">
        <is>
          <t>buyer@smartmarket.dev / BuyerPass123</t>
        </is>
      </c>
      <c r="G29" s="3" t="inlineStr">
        <is>
          <t>Redirected to the requested page; avatar and bell appear in the header.</t>
        </is>
      </c>
      <c r="H29" s="7" t="inlineStr">
        <is>
          <t>Success</t>
        </is>
      </c>
      <c r="I29" s="3" t="inlineStr">
        <is>
          <t>High</t>
        </is>
      </c>
      <c r="J29" s="9" t="inlineStr"/>
      <c r="K29" s="9" t="inlineStr"/>
      <c r="L29" s="9" t="inlineStr"/>
    </row>
    <row r="30" ht="25.5" customHeight="1">
      <c r="A30" s="4" t="inlineStr">
        <is>
          <t>AUT-04</t>
        </is>
      </c>
      <c r="B30" s="3" t="inlineStr">
        <is>
          <t>Authentication</t>
        </is>
      </c>
      <c r="C30" s="3" t="inlineStr">
        <is>
          <t>Login with wrong password</t>
        </is>
      </c>
      <c r="D30" s="3" t="inlineStr">
        <is>
          <t>Account exists</t>
        </is>
      </c>
      <c r="E30" s="3" t="inlineStr">
        <is>
          <t>1.
Log in with a wrong password.</t>
        </is>
      </c>
      <c r="F30" s="3" t="inlineStr">
        <is>
          <t>buyer@smartmarket.dev / wrong</t>
        </is>
      </c>
      <c r="G30" s="3" t="inlineStr">
        <is>
          <t>Error message, still logged out, no hint about which field is wrong.</t>
        </is>
      </c>
      <c r="H30" s="10" t="inlineStr">
        <is>
          <t>Failure (expected error)</t>
        </is>
      </c>
      <c r="I30" s="3" t="inlineStr">
        <is>
          <t>High</t>
        </is>
      </c>
      <c r="J30" s="9" t="inlineStr"/>
      <c r="K30" s="9" t="inlineStr"/>
      <c r="L30" s="9" t="inlineStr"/>
    </row>
    <row r="31" ht="25.5" customHeight="1">
      <c r="A31" s="4" t="inlineStr">
        <is>
          <t>AUT-05</t>
        </is>
      </c>
      <c r="B31" s="3" t="inlineStr">
        <is>
          <t>Authentication</t>
        </is>
      </c>
      <c r="C31" s="3" t="inlineStr">
        <is>
          <t>Login rate limit</t>
        </is>
      </c>
      <c r="D31" s="3" t="inlineStr">
        <is>
          <t>None</t>
        </is>
      </c>
      <c r="E31" s="3" t="inlineStr">
        <is>
          <t>1.
Fail the login 21 times within 15 minutes from one IP.</t>
        </is>
      </c>
      <c r="F31" s="3" t="inlineStr">
        <is>
          <t>—</t>
        </is>
      </c>
      <c r="G31" s="3" t="inlineStr">
        <is>
          <t>21st attempt returns 429 Too many attempts.</t>
        </is>
      </c>
      <c r="H31" s="10" t="inlineStr">
        <is>
          <t>Failure (expected error)</t>
        </is>
      </c>
      <c r="I31" s="3" t="inlineStr">
        <is>
          <t>Medium</t>
        </is>
      </c>
      <c r="J31" s="9" t="inlineStr"/>
      <c r="K31" s="9" t="inlineStr"/>
      <c r="L31" s="9" t="inlineStr"/>
    </row>
    <row r="32" ht="51" customHeight="1">
      <c r="A32" s="4" t="inlineStr">
        <is>
          <t>AUT-06</t>
        </is>
      </c>
      <c r="B32" s="3" t="inlineStr">
        <is>
          <t>Authentication</t>
        </is>
      </c>
      <c r="C32" s="3" t="inlineStr">
        <is>
          <t>Continue with Google</t>
        </is>
      </c>
      <c r="D32" s="3" t="inlineStr">
        <is>
          <t>Redirect URI registered in Google Console for this host</t>
        </is>
      </c>
      <c r="E32" s="3" t="inlineStr">
        <is>
          <t>1.
Click Continue with Google.
2.
Pick a Google account.</t>
        </is>
      </c>
      <c r="F32" s="3" t="inlineStr">
        <is>
          <t>—</t>
        </is>
      </c>
      <c r="G32" s="3" t="inlineStr">
        <is>
          <t>Google consent page, then back to the site signed in (account created if new, no OTP needed).</t>
        </is>
      </c>
      <c r="H32" s="11" t="inlineStr">
        <is>
          <t>Blocked (needs provider key)</t>
        </is>
      </c>
      <c r="I32" s="3" t="inlineStr">
        <is>
          <t>High</t>
        </is>
      </c>
      <c r="J32" s="9" t="inlineStr"/>
      <c r="K32" s="9" t="inlineStr"/>
      <c r="L32" s="9" t="inlineStr"/>
    </row>
    <row r="33" ht="25.5" customHeight="1">
      <c r="A33" s="4" t="inlineStr">
        <is>
          <t>AUT-07</t>
        </is>
      </c>
      <c r="B33" s="3" t="inlineStr">
        <is>
          <t>Authentication</t>
        </is>
      </c>
      <c r="C33" s="3" t="inlineStr">
        <is>
          <t>Google redirect URI not registered</t>
        </is>
      </c>
      <c r="D33" s="3" t="inlineStr">
        <is>
          <t>URI missing in Google Console</t>
        </is>
      </c>
      <c r="E33" s="3" t="inlineStr">
        <is>
          <t>1.
Click Continue with Google.</t>
        </is>
      </c>
      <c r="F33" s="3" t="inlineStr">
        <is>
          <t>—</t>
        </is>
      </c>
      <c r="G33" s="3" t="inlineStr">
        <is>
          <t>Google shows redirect_uri_mismatch (expected until the URI is added).</t>
        </is>
      </c>
      <c r="H33" s="10" t="inlineStr">
        <is>
          <t>Failure (expected error)</t>
        </is>
      </c>
      <c r="I33" s="3" t="inlineStr">
        <is>
          <t>Low</t>
        </is>
      </c>
      <c r="J33" s="9" t="inlineStr"/>
      <c r="K33" s="9" t="inlineStr"/>
      <c r="L33" s="9" t="inlineStr"/>
    </row>
    <row r="34" ht="76.5" customHeight="1">
      <c r="A34" s="4" t="inlineStr">
        <is>
          <t>AUT-08</t>
        </is>
      </c>
      <c r="B34" s="3" t="inlineStr">
        <is>
          <t>Authentication</t>
        </is>
      </c>
      <c r="C34" s="3" t="inlineStr">
        <is>
          <t>Forgot password</t>
        </is>
      </c>
      <c r="D34" s="3" t="inlineStr">
        <is>
          <t>RESEND_API_KEY configured</t>
        </is>
      </c>
      <c r="E34" s="3" t="inlineStr">
        <is>
          <t>1.
Request a reset.
2.
Enter the code and a new password.
3.
Log in with it.</t>
        </is>
      </c>
      <c r="F34" s="3" t="inlineStr">
        <is>
          <t>—</t>
        </is>
      </c>
      <c r="G34" s="3" t="inlineStr">
        <is>
          <t>Reset email arrives; old password refused; new one works.</t>
        </is>
      </c>
      <c r="H34" s="11" t="inlineStr">
        <is>
          <t>Blocked (needs provider key)</t>
        </is>
      </c>
      <c r="I34" s="3" t="inlineStr">
        <is>
          <t>Medium</t>
        </is>
      </c>
      <c r="J34" s="9" t="inlineStr"/>
      <c r="K34" s="9" t="inlineStr"/>
      <c r="L34" s="9" t="inlineStr"/>
    </row>
    <row r="35" ht="51" customHeight="1">
      <c r="A35" s="4" t="inlineStr">
        <is>
          <t>AUT-09</t>
        </is>
      </c>
      <c r="B35" s="3" t="inlineStr">
        <is>
          <t>Authentication</t>
        </is>
      </c>
      <c r="C35" s="3" t="inlineStr">
        <is>
          <t>Session survives 15 minutes</t>
        </is>
      </c>
      <c r="D35" s="3" t="inlineStr">
        <is>
          <t>Logged in</t>
        </is>
      </c>
      <c r="E35" s="3" t="inlineStr">
        <is>
          <t>1.
Stay on the site for 16 minutes.
2.
Open My orders.</t>
        </is>
      </c>
      <c r="F35" s="3" t="inlineStr">
        <is>
          <t>—</t>
        </is>
      </c>
      <c r="G35" s="3" t="inlineStr">
        <is>
          <t>Still logged in (refresh cookie renews the access token silently).</t>
        </is>
      </c>
      <c r="H35" s="7" t="inlineStr">
        <is>
          <t>Success</t>
        </is>
      </c>
      <c r="I35" s="3" t="inlineStr">
        <is>
          <t>Medium</t>
        </is>
      </c>
      <c r="J35" s="9" t="inlineStr"/>
      <c r="K35" s="9" t="inlineStr"/>
      <c r="L35" s="9" t="inlineStr"/>
    </row>
    <row r="36" ht="51" customHeight="1">
      <c r="A36" s="4" t="inlineStr">
        <is>
          <t>AUT-10</t>
        </is>
      </c>
      <c r="B36" s="3" t="inlineStr">
        <is>
          <t>Authentication</t>
        </is>
      </c>
      <c r="C36" s="3" t="inlineStr">
        <is>
          <t>Logout</t>
        </is>
      </c>
      <c r="D36" s="3" t="inlineStr">
        <is>
          <t>Logged in</t>
        </is>
      </c>
      <c r="E36" s="3" t="inlineStr">
        <is>
          <t>1.
Sign out.
2.
Open /account/orders.</t>
        </is>
      </c>
      <c r="F36" s="3" t="inlineStr">
        <is>
          <t>—</t>
        </is>
      </c>
      <c r="G36" s="3" t="inlineStr">
        <is>
          <t>Redirected to login; cart kept in the browser.</t>
        </is>
      </c>
      <c r="H36" s="7" t="inlineStr">
        <is>
          <t>Success</t>
        </is>
      </c>
      <c r="I36" s="3" t="inlineStr">
        <is>
          <t>Medium</t>
        </is>
      </c>
      <c r="J36" s="9" t="inlineStr"/>
      <c r="K36" s="9" t="inlineStr"/>
      <c r="L36" s="9" t="inlineStr"/>
    </row>
    <row r="37" ht="25.5" customHeight="1">
      <c r="A37" s="4" t="inlineStr">
        <is>
          <t>AUT-11</t>
        </is>
      </c>
      <c r="B37" s="3" t="inlineStr">
        <is>
          <t>Authentication</t>
        </is>
      </c>
      <c r="C37" s="3" t="inlineStr">
        <is>
          <t>Suspended user</t>
        </is>
      </c>
      <c r="D37" s="3" t="inlineStr">
        <is>
          <t>Admin suspended the account</t>
        </is>
      </c>
      <c r="E37" s="3" t="inlineStr">
        <is>
          <t>1.
Log in with the suspended account.</t>
        </is>
      </c>
      <c r="F37" s="3" t="inlineStr">
        <is>
          <t>—</t>
        </is>
      </c>
      <c r="G37" s="3" t="inlineStr">
        <is>
          <t>Login refused with an explicit message.</t>
        </is>
      </c>
      <c r="H37" s="10" t="inlineStr">
        <is>
          <t>Failure (expected error)</t>
        </is>
      </c>
      <c r="I37" s="3" t="inlineStr">
        <is>
          <t>Medium</t>
        </is>
      </c>
      <c r="J37" s="9" t="inlineStr"/>
      <c r="K37" s="9" t="inlineStr"/>
      <c r="L37" s="9" t="inlineStr"/>
    </row>
    <row r="38" ht="114.75" customHeight="1">
      <c r="A38" s="4" t="inlineStr">
        <is>
          <t>CHK-01</t>
        </is>
      </c>
      <c r="B38" s="3" t="inlineStr">
        <is>
          <t>Cart &amp; checkout</t>
        </is>
      </c>
      <c r="C38" s="3" t="inlineStr">
        <is>
          <t>Cart basics</t>
        </is>
      </c>
      <c r="D38" s="3" t="inlineStr">
        <is>
          <t>None</t>
        </is>
      </c>
      <c r="E38" s="3" t="inlineStr">
        <is>
          <t>1.
Add two products from cards and one from a product page.
2.
Change a quantity.
3.
Remove one.
4.
Reload.</t>
        </is>
      </c>
      <c r="F38" s="3" t="inlineStr">
        <is>
          <t>—</t>
        </is>
      </c>
      <c r="G38" s="3" t="inlineStr">
        <is>
          <t>Header badge counts items; totals update; cart persists after reload; the summary shows one orange "Checkout N items" button (whole cart) while each line keeps its own "Buy now" (single item, same guest-capable checkout); empty state when everything is removed.</t>
        </is>
      </c>
      <c r="H38" s="7" t="inlineStr">
        <is>
          <t>Success</t>
        </is>
      </c>
      <c r="I38" s="3" t="inlineStr">
        <is>
          <t>High</t>
        </is>
      </c>
      <c r="J38" s="9" t="inlineStr"/>
      <c r="K38" s="9" t="inlineStr"/>
      <c r="L38" s="9" t="inlineStr"/>
    </row>
    <row r="39" ht="25.5" customHeight="1">
      <c r="A39" s="4" t="inlineStr">
        <is>
          <t>CHK-02</t>
        </is>
      </c>
      <c r="B39" s="3" t="inlineStr">
        <is>
          <t>Cart &amp; checkout</t>
        </is>
      </c>
      <c r="C39" s="3" t="inlineStr">
        <is>
          <t>Buy now while logged out (guest)</t>
        </is>
      </c>
      <c r="D39" s="3" t="inlineStr">
        <is>
          <t>Logged out</t>
        </is>
      </c>
      <c r="E39" s="3" t="inlineStr">
        <is>
          <t>1.
Open a product page and click Buy now.
2.
Fill the guest details (name, phone, optional email).
3.
Choose Cash on delivery, fill address and phone, place the order.</t>
        </is>
      </c>
      <c r="F39" s="3" t="inlineStr">
        <is>
          <t>—</t>
        </is>
      </c>
      <c r="G39" s="3" t="inlineStr">
        <is>
          <t>The checkout opens directly with the "Your details" guest form (no login page); the order is confirmed with an SM-XXXXXX reference and a tracking link; "Have an account? Sign in" returns to the same checkout after login. Older "Pay now" links with ?order= still require an account.</t>
        </is>
      </c>
      <c r="H39" s="7" t="inlineStr">
        <is>
          <t>Success</t>
        </is>
      </c>
      <c r="I39" s="3" t="inlineStr">
        <is>
          <t>High</t>
        </is>
      </c>
      <c r="J39" s="9" t="inlineStr"/>
      <c r="K39" s="9" t="inlineStr"/>
      <c r="L39" s="9" t="inlineStr"/>
    </row>
    <row r="40" ht="51" customHeight="1">
      <c r="A40" s="4" t="inlineStr">
        <is>
          <t>CHK-03</t>
        </is>
      </c>
      <c r="B40" s="3" t="inlineStr">
        <is>
          <t>Cart &amp; checkout</t>
        </is>
      </c>
      <c r="C40" s="3" t="inlineStr">
        <is>
          <t>Mobile Money checkout (K-Pay)</t>
        </is>
      </c>
      <c r="D40" s="3" t="inlineStr">
        <is>
          <t>Valid K-Pay merchant keys</t>
        </is>
      </c>
      <c r="E40" s="3" t="inlineStr">
        <is>
          <t>1.
Choose Mobile Money, MTN, enter the phone.
2.
Confirm the USSD prompt on the phone.</t>
        </is>
      </c>
      <c r="F40" s="3" t="inlineStr">
        <is>
          <t>MTN test number</t>
        </is>
      </c>
      <c r="G40" s="3" t="inlineStr">
        <is>
          <t>Payment goes PROCESSING then COMPLETED; order PAID; escrow HELD; buyer and seller notified.</t>
        </is>
      </c>
      <c r="H40" s="11" t="inlineStr">
        <is>
          <t>Blocked (needs provider key)</t>
        </is>
      </c>
      <c r="I40" s="3" t="inlineStr">
        <is>
          <t>High</t>
        </is>
      </c>
      <c r="J40" s="9" t="inlineStr"/>
      <c r="K40" s="9" t="inlineStr"/>
      <c r="L40" s="9" t="inlineStr"/>
    </row>
    <row r="41" ht="25.5" customHeight="1">
      <c r="A41" s="4" t="inlineStr">
        <is>
          <t>CHK-04</t>
        </is>
      </c>
      <c r="B41" s="3" t="inlineStr">
        <is>
          <t>Cart &amp; checkout</t>
        </is>
      </c>
      <c r="C41" s="3" t="inlineStr">
        <is>
          <t>Mobile Money checkout with maintenance keys</t>
        </is>
      </c>
      <c r="D41" s="3" t="inlineStr">
        <is>
          <t>K-Pay keys not yet live</t>
        </is>
      </c>
      <c r="E41" s="3" t="inlineStr">
        <is>
          <t>1.
Choose Mobile Money and pay.</t>
        </is>
      </c>
      <c r="F41" s="3" t="inlineStr">
        <is>
          <t>—</t>
        </is>
      </c>
      <c r="G41" s="3" t="inlineStr">
        <is>
          <t>Clear error "platform in maintenance"; order stays PENDING_PAYMENT; buyer can cancel it.</t>
        </is>
      </c>
      <c r="H41" s="10" t="inlineStr">
        <is>
          <t>Failure (expected error)</t>
        </is>
      </c>
      <c r="I41" s="3" t="inlineStr">
        <is>
          <t>High</t>
        </is>
      </c>
      <c r="J41" s="9" t="inlineStr"/>
      <c r="K41" s="9" t="inlineStr"/>
      <c r="L41" s="9" t="inlineStr"/>
    </row>
    <row r="42" ht="76.5" customHeight="1">
      <c r="A42" s="4" t="inlineStr">
        <is>
          <t>CHK-05</t>
        </is>
      </c>
      <c r="B42" s="3" t="inlineStr">
        <is>
          <t>Cart &amp; checkout</t>
        </is>
      </c>
      <c r="C42" s="3" t="inlineStr">
        <is>
          <t>Cash on delivery checkout</t>
        </is>
      </c>
      <c r="D42" s="3" t="inlineStr">
        <is>
          <t>Store accepts COD (default)</t>
        </is>
      </c>
      <c r="E42" s="3" t="inlineStr">
        <is>
          <t>1.
Choose Cash on delivery.
2.
Enter address and phone.
3.
Place order.</t>
        </is>
      </c>
      <c r="F42" s="3" t="inlineStr">
        <is>
          <t>Rue 12 Bonapriso, +237690000000</t>
        </is>
      </c>
      <c r="G42" s="3" t="inlineStr">
        <is>
          <t>"Order confirmed" screen; order status CONFIRMED with cash badge; no payment or escrow row; seller sees address and "Collect FCFA … in cash".</t>
        </is>
      </c>
      <c r="H42" s="7" t="inlineStr">
        <is>
          <t>Success</t>
        </is>
      </c>
      <c r="I42" s="3" t="inlineStr">
        <is>
          <t>High</t>
        </is>
      </c>
      <c r="J42" s="9" t="inlineStr"/>
      <c r="K42" s="9" t="inlineStr"/>
      <c r="L42" s="9" t="inlineStr"/>
    </row>
    <row r="43" ht="76.5" customHeight="1">
      <c r="A43" s="4" t="inlineStr">
        <is>
          <t>CHK-06</t>
        </is>
      </c>
      <c r="B43" s="3" t="inlineStr">
        <is>
          <t>Cart &amp; checkout</t>
        </is>
      </c>
      <c r="C43" s="3" t="inlineStr">
        <is>
          <t>Cash on delivery without address</t>
        </is>
      </c>
      <c r="D43" s="3" t="inlineStr">
        <is>
          <t>None</t>
        </is>
      </c>
      <c r="E43" s="3" t="inlineStr">
        <is>
          <t>1.
Choose Cash on delivery.
2.
Leave address empty.
3.
Place order.</t>
        </is>
      </c>
      <c r="F43" s="3" t="inlineStr">
        <is>
          <t>—</t>
        </is>
      </c>
      <c r="G43" s="3" t="inlineStr">
        <is>
          <t>Form refuses: address and phone required.</t>
        </is>
      </c>
      <c r="H43" s="10" t="inlineStr">
        <is>
          <t>Failure (expected error)</t>
        </is>
      </c>
      <c r="I43" s="3" t="inlineStr">
        <is>
          <t>Medium</t>
        </is>
      </c>
      <c r="J43" s="9" t="inlineStr"/>
      <c r="K43" s="9" t="inlineStr"/>
      <c r="L43" s="9" t="inlineStr"/>
    </row>
    <row r="44" ht="51" customHeight="1">
      <c r="A44" s="4" t="inlineStr">
        <is>
          <t>CHK-07</t>
        </is>
      </c>
      <c r="B44" s="3" t="inlineStr">
        <is>
          <t>Cart &amp; checkout</t>
        </is>
      </c>
      <c r="C44" s="3" t="inlineStr">
        <is>
          <t>Cash on delivery disabled by the store</t>
        </is>
      </c>
      <c r="D44" s="3" t="inlineStr">
        <is>
          <t>Seller unticked "Accept cash on delivery"</t>
        </is>
      </c>
      <c r="E44" s="3" t="inlineStr">
        <is>
          <t>1.
Open one of that store's products.
2.
Go to checkout.</t>
        </is>
      </c>
      <c r="F44" s="3" t="inlineStr">
        <is>
          <t>—</t>
        </is>
      </c>
      <c r="G44" s="3" t="inlineStr">
        <is>
          <t>No "Cash on delivery available" badge; the COD option is disabled; API returns 422 COD_NOT_ACCEPTED.</t>
        </is>
      </c>
      <c r="H44" s="10" t="inlineStr">
        <is>
          <t>Failure (expected error)</t>
        </is>
      </c>
      <c r="I44" s="3" t="inlineStr">
        <is>
          <t>Medium</t>
        </is>
      </c>
      <c r="J44" s="9" t="inlineStr"/>
      <c r="K44" s="9" t="inlineStr"/>
      <c r="L44" s="9" t="inlineStr"/>
    </row>
    <row r="45" ht="25.5" customHeight="1">
      <c r="A45" s="4" t="inlineStr">
        <is>
          <t>CHK-08</t>
        </is>
      </c>
      <c r="B45" s="3" t="inlineStr">
        <is>
          <t>Cart &amp; checkout</t>
        </is>
      </c>
      <c r="C45" s="3" t="inlineStr">
        <is>
          <t>Pay a cash order with Mobile Money</t>
        </is>
      </c>
      <c r="D45" s="3" t="inlineStr">
        <is>
          <t>COD order exists</t>
        </is>
      </c>
      <c r="E45" s="3" t="inlineStr">
        <is>
          <t>1.
Call POST /api/orders/{id}/pay on it.</t>
        </is>
      </c>
      <c r="F45" s="3" t="inlineStr">
        <is>
          <t>—</t>
        </is>
      </c>
      <c r="G45" s="3" t="inlineStr">
        <is>
          <t>409 ORDER_NOT_PAYABLE.</t>
        </is>
      </c>
      <c r="H45" s="10" t="inlineStr">
        <is>
          <t>Failure (expected error)</t>
        </is>
      </c>
      <c r="I45" s="3" t="inlineStr">
        <is>
          <t>Low</t>
        </is>
      </c>
      <c r="J45" s="9" t="inlineStr"/>
      <c r="K45" s="9" t="inlineStr"/>
      <c r="L45" s="9" t="inlineStr"/>
    </row>
    <row r="46" ht="51" customHeight="1">
      <c r="A46" s="4" t="inlineStr">
        <is>
          <t>CHK-09</t>
        </is>
      </c>
      <c r="B46" s="3" t="inlineStr">
        <is>
          <t>Cart &amp; checkout</t>
        </is>
      </c>
      <c r="C46" s="3" t="inlineStr">
        <is>
          <t>Abandoned payment expiry</t>
        </is>
      </c>
      <c r="D46" s="3" t="inlineStr">
        <is>
          <t>PENDING payment older than 15 minutes</t>
        </is>
      </c>
      <c r="E46" s="3" t="inlineStr">
        <is>
          <t>1.
Start a Mobile Money payment and never confirm.
2.
Wait 16 minutes.</t>
        </is>
      </c>
      <c r="F46" s="3" t="inlineStr">
        <is>
          <t>—</t>
        </is>
      </c>
      <c r="G46" s="3" t="inlineStr">
        <is>
          <t>stale-payments job cancels the payment and the pending order/subscription checkout.</t>
        </is>
      </c>
      <c r="H46" s="7" t="inlineStr">
        <is>
          <t>Success</t>
        </is>
      </c>
      <c r="I46" s="3" t="inlineStr">
        <is>
          <t>Medium</t>
        </is>
      </c>
      <c r="J46" s="9" t="inlineStr"/>
      <c r="K46" s="9" t="inlineStr"/>
      <c r="L46" s="9" t="inlineStr"/>
    </row>
    <row r="47" ht="25.5" customHeight="1">
      <c r="A47" s="4" t="inlineStr">
        <is>
          <t>ORD-01</t>
        </is>
      </c>
      <c r="B47" s="3" t="inlineStr">
        <is>
          <t>Orders (buyer)</t>
        </is>
      </c>
      <c r="C47" s="3" t="inlineStr">
        <is>
          <t>Orders list</t>
        </is>
      </c>
      <c r="D47" s="3" t="inlineStr">
        <is>
          <t>Buyer with orders</t>
        </is>
      </c>
      <c r="E47" s="3" t="inlineStr">
        <is>
          <t>1.
Open My orders.</t>
        </is>
      </c>
      <c r="F47" s="3" t="inlineStr">
        <is>
          <t>—</t>
        </is>
      </c>
      <c r="G47" s="3" t="inlineStr">
        <is>
          <t>Each order shows status pill (Confirmed — cash on delivery / Paid / Completed / Cancelled…), product, total, date; filters by status.</t>
        </is>
      </c>
      <c r="H47" s="7" t="inlineStr">
        <is>
          <t>Success</t>
        </is>
      </c>
      <c r="I47" s="3" t="inlineStr">
        <is>
          <t>High</t>
        </is>
      </c>
      <c r="J47" s="9" t="inlineStr"/>
      <c r="K47" s="9" t="inlineStr"/>
      <c r="L47" s="9" t="inlineStr"/>
    </row>
    <row r="48" ht="25.5" customHeight="1">
      <c r="A48" s="4" t="inlineStr">
        <is>
          <t>ORD-02</t>
        </is>
      </c>
      <c r="B48" s="3" t="inlineStr">
        <is>
          <t>Orders (buyer)</t>
        </is>
      </c>
      <c r="C48" s="3" t="inlineStr">
        <is>
          <t>Order timeline</t>
        </is>
      </c>
      <c r="D48" s="3" t="inlineStr">
        <is>
          <t>Paid order</t>
        </is>
      </c>
      <c r="E48" s="3" t="inlineStr">
        <is>
          <t>1.
Open the order.</t>
        </is>
      </c>
      <c r="F48" s="3" t="inlineStr">
        <is>
          <t>—</t>
        </is>
      </c>
      <c r="G48" s="3" t="inlineStr">
        <is>
          <t>Timeline paid → delivered → received → completed; payment aside with provider and phone; help text per status.</t>
        </is>
      </c>
      <c r="H48" s="7" t="inlineStr">
        <is>
          <t>Success</t>
        </is>
      </c>
      <c r="I48" s="3" t="inlineStr">
        <is>
          <t>Medium</t>
        </is>
      </c>
      <c r="J48" s="9" t="inlineStr"/>
      <c r="K48" s="9" t="inlineStr"/>
      <c r="L48" s="9" t="inlineStr"/>
    </row>
    <row r="49" ht="51" customHeight="1">
      <c r="A49" s="4" t="inlineStr">
        <is>
          <t>ORD-03</t>
        </is>
      </c>
      <c r="B49" s="3" t="inlineStr">
        <is>
          <t>Orders (buyer)</t>
        </is>
      </c>
      <c r="C49" s="3" t="inlineStr">
        <is>
          <t>Cancel an unpaid order</t>
        </is>
      </c>
      <c r="D49" s="3" t="inlineStr">
        <is>
          <t>PENDING_PAYMENT order, no processing payment</t>
        </is>
      </c>
      <c r="E49" s="3" t="inlineStr">
        <is>
          <t>1.
Open the order.
2.
Cancel.</t>
        </is>
      </c>
      <c r="F49" s="3" t="inlineStr">
        <is>
          <t>—</t>
        </is>
      </c>
      <c r="G49" s="3" t="inlineStr">
        <is>
          <t>Status CANCELLED, "Cancelled by the buyer".</t>
        </is>
      </c>
      <c r="H49" s="7" t="inlineStr">
        <is>
          <t>Success</t>
        </is>
      </c>
      <c r="I49" s="3" t="inlineStr">
        <is>
          <t>Medium</t>
        </is>
      </c>
      <c r="J49" s="9" t="inlineStr"/>
      <c r="K49" s="9" t="inlineStr"/>
      <c r="L49" s="9" t="inlineStr"/>
    </row>
    <row r="50" ht="25.5" customHeight="1">
      <c r="A50" s="4" t="inlineStr">
        <is>
          <t>ORD-04</t>
        </is>
      </c>
      <c r="B50" s="3" t="inlineStr">
        <is>
          <t>Orders (buyer)</t>
        </is>
      </c>
      <c r="C50" s="3" t="inlineStr">
        <is>
          <t>Cancel a paid order</t>
        </is>
      </c>
      <c r="D50" s="3" t="inlineStr">
        <is>
          <t>PAID order</t>
        </is>
      </c>
      <c r="E50" s="3" t="inlineStr">
        <is>
          <t>1.
Try to cancel.</t>
        </is>
      </c>
      <c r="F50" s="3" t="inlineStr">
        <is>
          <t>—</t>
        </is>
      </c>
      <c r="G50" s="3" t="inlineStr">
        <is>
          <t>No cancel button; API 409 ORDER_NOT_CANCELLABLE.</t>
        </is>
      </c>
      <c r="H50" s="10" t="inlineStr">
        <is>
          <t>Failure (expected error)</t>
        </is>
      </c>
      <c r="I50" s="3" t="inlineStr">
        <is>
          <t>Medium</t>
        </is>
      </c>
      <c r="J50" s="9" t="inlineStr"/>
      <c r="K50" s="9" t="inlineStr"/>
      <c r="L50" s="9" t="inlineStr"/>
    </row>
    <row r="51" ht="25.5" customHeight="1">
      <c r="A51" s="4" t="inlineStr">
        <is>
          <t>ORD-05</t>
        </is>
      </c>
      <c r="B51" s="3" t="inlineStr">
        <is>
          <t>Orders (buyer)</t>
        </is>
      </c>
      <c r="C51" s="3" t="inlineStr">
        <is>
          <t>Cancel a cash order before handover</t>
        </is>
      </c>
      <c r="D51" s="3" t="inlineStr">
        <is>
          <t>COD order, seller has not confirmed delivery</t>
        </is>
      </c>
      <c r="E51" s="3" t="inlineStr">
        <is>
          <t>1.
Cancel from the order page.</t>
        </is>
      </c>
      <c r="F51" s="3" t="inlineStr">
        <is>
          <t>—</t>
        </is>
      </c>
      <c r="G51" s="3" t="inlineStr">
        <is>
          <t>CANCELLED; seller notified.</t>
        </is>
      </c>
      <c r="H51" s="7" t="inlineStr">
        <is>
          <t>Success</t>
        </is>
      </c>
      <c r="I51" s="3" t="inlineStr">
        <is>
          <t>Medium</t>
        </is>
      </c>
      <c r="J51" s="9" t="inlineStr"/>
      <c r="K51" s="9" t="inlineStr"/>
      <c r="L51" s="9" t="inlineStr"/>
    </row>
    <row r="52" ht="25.5" customHeight="1">
      <c r="A52" s="4" t="inlineStr">
        <is>
          <t>ORD-06</t>
        </is>
      </c>
      <c r="B52" s="3" t="inlineStr">
        <is>
          <t>Orders (buyer)</t>
        </is>
      </c>
      <c r="C52" s="3" t="inlineStr">
        <is>
          <t>Cancel a cash order after delivery confirmed</t>
        </is>
      </c>
      <c r="D52" s="3" t="inlineStr">
        <is>
          <t>Seller confirmed delivery</t>
        </is>
      </c>
      <c r="E52" s="3" t="inlineStr">
        <is>
          <t>1.
Try to cancel.</t>
        </is>
      </c>
      <c r="F52" s="3" t="inlineStr">
        <is>
          <t>—</t>
        </is>
      </c>
      <c r="G52" s="3" t="inlineStr">
        <is>
          <t>Refused (409).</t>
        </is>
      </c>
      <c r="H52" s="10" t="inlineStr">
        <is>
          <t>Failure (expected error)</t>
        </is>
      </c>
      <c r="I52" s="3" t="inlineStr">
        <is>
          <t>Medium</t>
        </is>
      </c>
      <c r="J52" s="9" t="inlineStr"/>
      <c r="K52" s="9" t="inlineStr"/>
      <c r="L52" s="9" t="inlineStr"/>
    </row>
    <row r="53" ht="25.5" customHeight="1">
      <c r="A53" s="4" t="inlineStr">
        <is>
          <t>ORD-07</t>
        </is>
      </c>
      <c r="B53" s="3" t="inlineStr">
        <is>
          <t>Orders (buyer)</t>
        </is>
      </c>
      <c r="C53" s="3" t="inlineStr">
        <is>
          <t>Confirm receipt (Mobile Money)</t>
        </is>
      </c>
      <c r="D53" s="3" t="inlineStr">
        <is>
          <t>Seller confirmed delivery</t>
        </is>
      </c>
      <c r="E53" s="3" t="inlineStr">
        <is>
          <t>1.
Confirm receipt.</t>
        </is>
      </c>
      <c r="F53" s="3" t="inlineStr">
        <is>
          <t>—</t>
        </is>
      </c>
      <c r="G53" s="3" t="inlineStr">
        <is>
          <t>Order COMPLETED; escrow released; seller wallet credited; both notified.</t>
        </is>
      </c>
      <c r="H53" s="7" t="inlineStr">
        <is>
          <t>Success</t>
        </is>
      </c>
      <c r="I53" s="3" t="inlineStr">
        <is>
          <t>High</t>
        </is>
      </c>
      <c r="J53" s="9" t="inlineStr"/>
      <c r="K53" s="9" t="inlineStr"/>
      <c r="L53" s="9" t="inlineStr"/>
    </row>
    <row r="54" ht="25.5" customHeight="1">
      <c r="A54" s="4" t="inlineStr">
        <is>
          <t>ORD-08</t>
        </is>
      </c>
      <c r="B54" s="3" t="inlineStr">
        <is>
          <t>Orders (buyer)</t>
        </is>
      </c>
      <c r="C54" s="3" t="inlineStr">
        <is>
          <t>Confirm receipt (cash)</t>
        </is>
      </c>
      <c r="D54" s="3" t="inlineStr">
        <is>
          <t>Seller confirmed delivery on a COD order</t>
        </is>
      </c>
      <c r="E54" s="3" t="inlineStr">
        <is>
          <t>1.
Confirm receipt.</t>
        </is>
      </c>
      <c r="F54" s="3" t="inlineStr">
        <is>
          <t>—</t>
        </is>
      </c>
      <c r="G54" s="3" t="inlineStr">
        <is>
          <t>Order COMPLETED; seller wallet unchanged; review button appears.</t>
        </is>
      </c>
      <c r="H54" s="7" t="inlineStr">
        <is>
          <t>Success</t>
        </is>
      </c>
      <c r="I54" s="3" t="inlineStr">
        <is>
          <t>High</t>
        </is>
      </c>
      <c r="J54" s="9" t="inlineStr"/>
      <c r="K54" s="9" t="inlineStr"/>
      <c r="L54" s="9" t="inlineStr"/>
    </row>
    <row r="55" ht="51" customHeight="1">
      <c r="A55" s="4" t="inlineStr">
        <is>
          <t>ORD-09</t>
        </is>
      </c>
      <c r="B55" s="3" t="inlineStr">
        <is>
          <t>Orders (buyer)</t>
        </is>
      </c>
      <c r="C55" s="3" t="inlineStr">
        <is>
          <t>Leave a review</t>
        </is>
      </c>
      <c r="D55" s="3" t="inlineStr">
        <is>
          <t>Completed order</t>
        </is>
      </c>
      <c r="E55" s="3" t="inlineStr">
        <is>
          <t>1.
Rate 5 stars with a comment.
2.
Try to review again.</t>
        </is>
      </c>
      <c r="F55" s="3" t="inlineStr">
        <is>
          <t>—</t>
        </is>
      </c>
      <c r="G55" s="3" t="inlineStr">
        <is>
          <t>Review shows on the store page and updates its rating; second review refused.</t>
        </is>
      </c>
      <c r="H55" s="7" t="inlineStr">
        <is>
          <t>Success</t>
        </is>
      </c>
      <c r="I55" s="3" t="inlineStr">
        <is>
          <t>Medium</t>
        </is>
      </c>
      <c r="J55" s="9" t="inlineStr"/>
      <c r="K55" s="9" t="inlineStr"/>
      <c r="L55" s="9" t="inlineStr"/>
    </row>
    <row r="56" ht="25.5" customHeight="1">
      <c r="A56" s="4" t="inlineStr">
        <is>
          <t>ORD-10</t>
        </is>
      </c>
      <c r="B56" s="3" t="inlineStr">
        <is>
          <t>Orders (buyer)</t>
        </is>
      </c>
      <c r="C56" s="3" t="inlineStr">
        <is>
          <t>Open a dispute</t>
        </is>
      </c>
      <c r="D56" s="3" t="inlineStr">
        <is>
          <t>PAID order</t>
        </is>
      </c>
      <c r="E56" s="3" t="inlineStr">
        <is>
          <t>1.
Open a dispute with a reason.</t>
        </is>
      </c>
      <c r="F56" s="3" t="inlineStr">
        <is>
          <t>—</t>
        </is>
      </c>
      <c r="G56" s="3" t="inlineStr">
        <is>
          <t>Order DISPUTED; admin sees it; seller notified.</t>
        </is>
      </c>
      <c r="H56" s="7" t="inlineStr">
        <is>
          <t>Success</t>
        </is>
      </c>
      <c r="I56" s="3" t="inlineStr">
        <is>
          <t>High</t>
        </is>
      </c>
      <c r="J56" s="9" t="inlineStr"/>
      <c r="K56" s="9" t="inlineStr"/>
      <c r="L56" s="9" t="inlineStr"/>
    </row>
    <row r="57" ht="25.5" customHeight="1">
      <c r="A57" s="4" t="inlineStr">
        <is>
          <t>ORD-11</t>
        </is>
      </c>
      <c r="B57" s="3" t="inlineStr">
        <is>
          <t>Orders (buyer)</t>
        </is>
      </c>
      <c r="C57" s="3" t="inlineStr">
        <is>
          <t>Dispute on a cash order</t>
        </is>
      </c>
      <c r="D57" s="3" t="inlineStr">
        <is>
          <t>COD order</t>
        </is>
      </c>
      <c r="E57" s="3" t="inlineStr">
        <is>
          <t>1.
Try to open a dispute.</t>
        </is>
      </c>
      <c r="F57" s="3" t="inlineStr">
        <is>
          <t>—</t>
        </is>
      </c>
      <c r="G57" s="3" t="inlineStr">
        <is>
          <t>Refused: cash orders are outside escrow (ORDER_NOT_DISPUTABLE).</t>
        </is>
      </c>
      <c r="H57" s="10" t="inlineStr">
        <is>
          <t>Failure (expected error)</t>
        </is>
      </c>
      <c r="I57" s="3" t="inlineStr">
        <is>
          <t>Medium</t>
        </is>
      </c>
      <c r="J57" s="9" t="inlineStr"/>
      <c r="K57" s="9" t="inlineStr"/>
      <c r="L57" s="9" t="inlineStr"/>
    </row>
    <row r="58" ht="76.5" customHeight="1">
      <c r="A58" s="4" t="inlineStr">
        <is>
          <t>ORD-12</t>
        </is>
      </c>
      <c r="B58" s="3" t="inlineStr">
        <is>
          <t>Orders (buyer)</t>
        </is>
      </c>
      <c r="C58" s="3" t="inlineStr">
        <is>
          <t>Notifications inbox</t>
        </is>
      </c>
      <c r="D58" s="3" t="inlineStr">
        <is>
          <t>Some events happened</t>
        </is>
      </c>
      <c r="E58" s="3" t="inlineStr">
        <is>
          <t>1.
Click the bell.
2.
Open a notification.
3.
Mark all read.</t>
        </is>
      </c>
      <c r="F58" s="3" t="inlineStr">
        <is>
          <t>—</t>
        </is>
      </c>
      <c r="G58" s="3" t="inlineStr">
        <is>
          <t>Unread count on the bell; localized titles/bodies; opening navigates to the order/store; count goes to 0.</t>
        </is>
      </c>
      <c r="H58" s="7" t="inlineStr">
        <is>
          <t>Success</t>
        </is>
      </c>
      <c r="I58" s="3" t="inlineStr">
        <is>
          <t>Medium</t>
        </is>
      </c>
      <c r="J58" s="9" t="inlineStr"/>
      <c r="K58" s="9" t="inlineStr"/>
      <c r="L58" s="9" t="inlineStr"/>
    </row>
    <row r="59" ht="76.5" customHeight="1">
      <c r="A59" s="4" t="inlineStr">
        <is>
          <t>ORD-13</t>
        </is>
      </c>
      <c r="B59" s="3" t="inlineStr">
        <is>
          <t>Orders (buyer)</t>
        </is>
      </c>
      <c r="C59" s="3" t="inlineStr">
        <is>
          <t>Wishlist</t>
        </is>
      </c>
      <c r="D59" s="3" t="inlineStr">
        <is>
          <t>None</t>
        </is>
      </c>
      <c r="E59" s="3" t="inlineStr">
        <is>
          <t>1.
Save 2 products logged out.
2.
Log in.
3.
Open Wishlist.</t>
        </is>
      </c>
      <c r="F59" s="3" t="inlineStr">
        <is>
          <t>—</t>
        </is>
      </c>
      <c r="G59" s="3" t="inlineStr">
        <is>
          <t>Heart badge counts; after login the browser list merges with the server list; remove works.</t>
        </is>
      </c>
      <c r="H59" s="7" t="inlineStr">
        <is>
          <t>Success</t>
        </is>
      </c>
      <c r="I59" s="3" t="inlineStr">
        <is>
          <t>Low</t>
        </is>
      </c>
      <c r="J59" s="9" t="inlineStr"/>
      <c r="K59" s="9" t="inlineStr"/>
      <c r="L59" s="9" t="inlineStr"/>
    </row>
    <row r="60" ht="76.5" customHeight="1">
      <c r="A60" s="4" t="inlineStr">
        <is>
          <t>SEL-01</t>
        </is>
      </c>
      <c r="B60" s="3" t="inlineStr">
        <is>
          <t>Seller area</t>
        </is>
      </c>
      <c r="C60" s="3" t="inlineStr">
        <is>
          <t>Become a seller</t>
        </is>
      </c>
      <c r="D60" s="3" t="inlineStr">
        <is>
          <t>Customer without a store</t>
        </is>
      </c>
      <c r="E60" s="3" t="inlineStr">
        <is>
          <t>1.
Click Become a seller.
2.
Fill the store form with logo and banner.
3.
Submit.</t>
        </is>
      </c>
      <c r="F60" s="3" t="inlineStr">
        <is>
          <t>—</t>
        </is>
      </c>
      <c r="G60" s="3" t="inlineStr">
        <is>
          <t>Store created and active; seller dashboard opens; store page public.</t>
        </is>
      </c>
      <c r="H60" s="7" t="inlineStr">
        <is>
          <t>Success</t>
        </is>
      </c>
      <c r="I60" s="3" t="inlineStr">
        <is>
          <t>High</t>
        </is>
      </c>
      <c r="J60" s="9" t="inlineStr"/>
      <c r="K60" s="9" t="inlineStr"/>
      <c r="L60" s="9" t="inlineStr"/>
    </row>
    <row r="61" ht="76.5" customHeight="1">
      <c r="A61" s="4" t="inlineStr">
        <is>
          <t>SEL-02</t>
        </is>
      </c>
      <c r="B61" s="3" t="inlineStr">
        <is>
          <t>Seller area</t>
        </is>
      </c>
      <c r="C61" s="3" t="inlineStr">
        <is>
          <t>Store settings</t>
        </is>
      </c>
      <c r="D61" s="3" t="inlineStr">
        <is>
          <t>Seller</t>
        </is>
      </c>
      <c r="E61" s="3" t="inlineStr">
        <is>
          <t>1.
Edit description/location/phone.
2.
Untick Accept cash on delivery.
3.
Save.</t>
        </is>
      </c>
      <c r="F61" s="3" t="inlineStr">
        <is>
          <t>—</t>
        </is>
      </c>
      <c r="G61" s="3" t="inlineStr">
        <is>
          <t>Changes visible on the store page; COD badge disappears from the store's products.</t>
        </is>
      </c>
      <c r="H61" s="7" t="inlineStr">
        <is>
          <t>Success</t>
        </is>
      </c>
      <c r="I61" s="3" t="inlineStr">
        <is>
          <t>Medium</t>
        </is>
      </c>
      <c r="J61" s="9" t="inlineStr"/>
      <c r="K61" s="9" t="inlineStr"/>
      <c r="L61" s="9" t="inlineStr"/>
    </row>
    <row r="62" ht="51" customHeight="1">
      <c r="A62" s="4" t="inlineStr">
        <is>
          <t>SEL-03</t>
        </is>
      </c>
      <c r="B62" s="3" t="inlineStr">
        <is>
          <t>Seller area</t>
        </is>
      </c>
      <c r="C62" s="3" t="inlineStr">
        <is>
          <t>Buy a subscription</t>
        </is>
      </c>
      <c r="D62" s="3" t="inlineStr">
        <is>
          <t>K-Pay live</t>
        </is>
      </c>
      <c r="E62" s="3" t="inlineStr">
        <is>
          <t>1.
Choose Business.
2.
Pay with Mobile Money.</t>
        </is>
      </c>
      <c r="F62" s="3" t="inlineStr">
        <is>
          <t>—</t>
        </is>
      </c>
      <c r="G62" s="3" t="inlineStr">
        <is>
          <t>Subscription ACTIVE with quota 50 and hero placement; expiry date shown.</t>
        </is>
      </c>
      <c r="H62" s="11" t="inlineStr">
        <is>
          <t>Blocked (needs provider key)</t>
        </is>
      </c>
      <c r="I62" s="3" t="inlineStr">
        <is>
          <t>High</t>
        </is>
      </c>
      <c r="J62" s="9" t="inlineStr"/>
      <c r="K62" s="9" t="inlineStr"/>
      <c r="L62" s="9" t="inlineStr"/>
    </row>
    <row r="63" ht="76.5" customHeight="1">
      <c r="A63" s="4" t="inlineStr">
        <is>
          <t>SEL-04</t>
        </is>
      </c>
      <c r="B63" s="3" t="inlineStr">
        <is>
          <t>Seller area</t>
        </is>
      </c>
      <c r="C63" s="3" t="inlineStr">
        <is>
          <t>Create and publish a listing</t>
        </is>
      </c>
      <c r="D63" s="3" t="inlineStr">
        <is>
          <t>Active subscription</t>
        </is>
      </c>
      <c r="E63" s="3" t="inlineStr">
        <is>
          <t>1.
New listing with 3 photos, price, category, condition.
2.
Save (draft).
3.
Publish.</t>
        </is>
      </c>
      <c r="F63" s="3" t="inlineStr">
        <is>
          <t>—</t>
        </is>
      </c>
      <c r="G63" s="3" t="inlineStr">
        <is>
          <t>Draft not visible publicly; after publish visible in category/search within a minute; quota counter increments.</t>
        </is>
      </c>
      <c r="H63" s="7" t="inlineStr">
        <is>
          <t>Success</t>
        </is>
      </c>
      <c r="I63" s="3" t="inlineStr">
        <is>
          <t>High</t>
        </is>
      </c>
      <c r="J63" s="9" t="inlineStr"/>
      <c r="K63" s="9" t="inlineStr"/>
      <c r="L63" s="9" t="inlineStr"/>
    </row>
    <row r="64" ht="25.5" customHeight="1">
      <c r="A64" s="4" t="inlineStr">
        <is>
          <t>SEL-05</t>
        </is>
      </c>
      <c r="B64" s="3" t="inlineStr">
        <is>
          <t>Seller area</t>
        </is>
      </c>
      <c r="C64" s="3" t="inlineStr">
        <is>
          <t>Publish without subscription</t>
        </is>
      </c>
      <c r="D64" s="3" t="inlineStr">
        <is>
          <t>No active plan</t>
        </is>
      </c>
      <c r="E64" s="3" t="inlineStr">
        <is>
          <t>1.
Publish a draft.</t>
        </is>
      </c>
      <c r="F64" s="3" t="inlineStr">
        <is>
          <t>—</t>
        </is>
      </c>
      <c r="G64" s="3" t="inlineStr">
        <is>
          <t>403 NO_ACTIVE_SUBSCRIPTION with a link to plans.</t>
        </is>
      </c>
      <c r="H64" s="10" t="inlineStr">
        <is>
          <t>Failure (expected error)</t>
        </is>
      </c>
      <c r="I64" s="3" t="inlineStr">
        <is>
          <t>High</t>
        </is>
      </c>
      <c r="J64" s="9" t="inlineStr"/>
      <c r="K64" s="9" t="inlineStr"/>
      <c r="L64" s="9" t="inlineStr"/>
    </row>
    <row r="65" ht="25.5" customHeight="1">
      <c r="A65" s="4" t="inlineStr">
        <is>
          <t>SEL-06</t>
        </is>
      </c>
      <c r="B65" s="3" t="inlineStr">
        <is>
          <t>Seller area</t>
        </is>
      </c>
      <c r="C65" s="3" t="inlineStr">
        <is>
          <t>Quota reached</t>
        </is>
      </c>
      <c r="D65" s="3" t="inlineStr">
        <is>
          <t>Starter plan with 10 published listings</t>
        </is>
      </c>
      <c r="E65" s="3" t="inlineStr">
        <is>
          <t>1.
Publish an 11th listing.</t>
        </is>
      </c>
      <c r="F65" s="3" t="inlineStr">
        <is>
          <t>—</t>
        </is>
      </c>
      <c r="G65" s="3" t="inlineStr">
        <is>
          <t>422 AD_QUOTA_REACHED; message names the plan and quota.</t>
        </is>
      </c>
      <c r="H65" s="10" t="inlineStr">
        <is>
          <t>Failure (expected error)</t>
        </is>
      </c>
      <c r="I65" s="3" t="inlineStr">
        <is>
          <t>Medium</t>
        </is>
      </c>
      <c r="J65" s="9" t="inlineStr"/>
      <c r="K65" s="9" t="inlineStr"/>
      <c r="L65" s="9" t="inlineStr"/>
    </row>
    <row r="66" ht="51" customHeight="1">
      <c r="A66" s="4" t="inlineStr">
        <is>
          <t>SEL-07</t>
        </is>
      </c>
      <c r="B66" s="3" t="inlineStr">
        <is>
          <t>Seller area</t>
        </is>
      </c>
      <c r="C66" s="3" t="inlineStr">
        <is>
          <t>Old price must be higher than price</t>
        </is>
      </c>
      <c r="D66" s="3" t="inlineStr">
        <is>
          <t>Seller</t>
        </is>
      </c>
      <c r="E66" s="3" t="inlineStr">
        <is>
          <t>1.
Set price 10,000 and old price 9,000.
2.
Save.</t>
        </is>
      </c>
      <c r="F66" s="3" t="inlineStr">
        <is>
          <t>—</t>
        </is>
      </c>
      <c r="G66" s="3" t="inlineStr">
        <is>
          <t>Validation error; listing unchanged.</t>
        </is>
      </c>
      <c r="H66" s="10" t="inlineStr">
        <is>
          <t>Failure (expected error)</t>
        </is>
      </c>
      <c r="I66" s="3" t="inlineStr">
        <is>
          <t>Low</t>
        </is>
      </c>
      <c r="J66" s="9" t="inlineStr"/>
      <c r="K66" s="9" t="inlineStr"/>
      <c r="L66" s="9" t="inlineStr"/>
    </row>
    <row r="67" ht="51" customHeight="1">
      <c r="A67" s="4" t="inlineStr">
        <is>
          <t>SEL-08</t>
        </is>
      </c>
      <c r="B67" s="3" t="inlineStr">
        <is>
          <t>Seller area</t>
        </is>
      </c>
      <c r="C67" s="3" t="inlineStr">
        <is>
          <t>Archive frees a quota slot</t>
        </is>
      </c>
      <c r="D67" s="3" t="inlineStr">
        <is>
          <t>Published listing</t>
        </is>
      </c>
      <c r="E67" s="3" t="inlineStr">
        <is>
          <t>1.
Archive it.
2.
Publish another draft.</t>
        </is>
      </c>
      <c r="F67" s="3" t="inlineStr">
        <is>
          <t>—</t>
        </is>
      </c>
      <c r="G67" s="3" t="inlineStr">
        <is>
          <t>Archived listing disappears from the site; the new one publishes within quota.</t>
        </is>
      </c>
      <c r="H67" s="7" t="inlineStr">
        <is>
          <t>Success</t>
        </is>
      </c>
      <c r="I67" s="3" t="inlineStr">
        <is>
          <t>Medium</t>
        </is>
      </c>
      <c r="J67" s="9" t="inlineStr"/>
      <c r="K67" s="9" t="inlineStr"/>
      <c r="L67" s="9" t="inlineStr"/>
    </row>
    <row r="68" ht="25.5" customHeight="1">
      <c r="A68" s="4" t="inlineStr">
        <is>
          <t>SEL-09</t>
        </is>
      </c>
      <c r="B68" s="3" t="inlineStr">
        <is>
          <t>Seller area</t>
        </is>
      </c>
      <c r="C68" s="3" t="inlineStr">
        <is>
          <t>Feature a listing in the hero</t>
        </is>
      </c>
      <c r="D68" s="3" t="inlineStr">
        <is>
          <t>Business/Premium plan</t>
        </is>
      </c>
      <c r="E68" s="3" t="inlineStr">
        <is>
          <t>1.
Click Feature on a published listing.</t>
        </is>
      </c>
      <c r="F68" s="3" t="inlineStr">
        <is>
          <t>—</t>
        </is>
      </c>
      <c r="G68" s="3" t="inlineStr">
        <is>
          <t>Listing appears in the home hero for the plan's hours; Starter plan is refused.</t>
        </is>
      </c>
      <c r="H68" s="7" t="inlineStr">
        <is>
          <t>Success</t>
        </is>
      </c>
      <c r="I68" s="3" t="inlineStr">
        <is>
          <t>Medium</t>
        </is>
      </c>
      <c r="J68" s="9" t="inlineStr"/>
      <c r="K68" s="9" t="inlineStr"/>
      <c r="L68" s="9" t="inlineStr"/>
    </row>
    <row r="69" ht="51" customHeight="1">
      <c r="A69" s="4" t="inlineStr">
        <is>
          <t>SEL-10</t>
        </is>
      </c>
      <c r="B69" s="3" t="inlineStr">
        <is>
          <t>Seller area</t>
        </is>
      </c>
      <c r="C69" s="3" t="inlineStr">
        <is>
          <t>Photo upload limits</t>
        </is>
      </c>
      <c r="D69" s="3" t="inlineStr">
        <is>
          <t>Seller</t>
        </is>
      </c>
      <c r="E69" s="3" t="inlineStr">
        <is>
          <t>1.
Upload a 6 MB image.
2.
Upload a PDF renamed .jpg.</t>
        </is>
      </c>
      <c r="F69" s="3" t="inlineStr">
        <is>
          <t>—</t>
        </is>
      </c>
      <c r="G69" s="3" t="inlineStr">
        <is>
          <t>Both refused with a clear message (size / type).</t>
        </is>
      </c>
      <c r="H69" s="10" t="inlineStr">
        <is>
          <t>Failure (expected error)</t>
        </is>
      </c>
      <c r="I69" s="3" t="inlineStr">
        <is>
          <t>Low</t>
        </is>
      </c>
      <c r="J69" s="9" t="inlineStr"/>
      <c r="K69" s="9" t="inlineStr"/>
      <c r="L69" s="9" t="inlineStr"/>
    </row>
    <row r="70" ht="51" customHeight="1">
      <c r="A70" s="4" t="inlineStr">
        <is>
          <t>SEL-11</t>
        </is>
      </c>
      <c r="B70" s="3" t="inlineStr">
        <is>
          <t>Seller area</t>
        </is>
      </c>
      <c r="C70" s="3" t="inlineStr">
        <is>
          <t>Seller orders</t>
        </is>
      </c>
      <c r="D70" s="3" t="inlineStr">
        <is>
          <t>Orders exist</t>
        </is>
      </c>
      <c r="E70" s="3" t="inlineStr">
        <is>
          <t>1.
Open Orders.
2.
Confirm delivery on a paid order and on a cash order.</t>
        </is>
      </c>
      <c r="F70" s="3" t="inlineStr">
        <is>
          <t>—</t>
        </is>
      </c>
      <c r="G70" s="3" t="inlineStr">
        <is>
          <t>Cash orders show the delivery address and "Collect FCFA … in cash"; confirm delivery moves both to awaiting buyer confirmation.</t>
        </is>
      </c>
      <c r="H70" s="7" t="inlineStr">
        <is>
          <t>Success</t>
        </is>
      </c>
      <c r="I70" s="3" t="inlineStr">
        <is>
          <t>High</t>
        </is>
      </c>
      <c r="J70" s="9" t="inlineStr"/>
      <c r="K70" s="9" t="inlineStr"/>
      <c r="L70" s="9" t="inlineStr"/>
    </row>
    <row r="71" ht="51" customHeight="1">
      <c r="A71" s="4" t="inlineStr">
        <is>
          <t>SEL-12</t>
        </is>
      </c>
      <c r="B71" s="3" t="inlineStr">
        <is>
          <t>Seller area</t>
        </is>
      </c>
      <c r="C71" s="3" t="inlineStr">
        <is>
          <t>Wallet and withdrawal</t>
        </is>
      </c>
      <c r="D71" s="3" t="inlineStr">
        <is>
          <t>Balance &gt; 0</t>
        </is>
      </c>
      <c r="E71" s="3" t="inlineStr">
        <is>
          <t>1.
Request a withdrawal below the balance.
2.
Request one above the balance.</t>
        </is>
      </c>
      <c r="F71" s="3" t="inlineStr">
        <is>
          <t>—</t>
        </is>
      </c>
      <c r="G71" s="3" t="inlineStr">
        <is>
          <t>First is created PENDING and reserved; second refused; payout completes via K-Pay once keys are live.</t>
        </is>
      </c>
      <c r="H71" s="7" t="inlineStr">
        <is>
          <t>Success</t>
        </is>
      </c>
      <c r="I71" s="3" t="inlineStr">
        <is>
          <t>Medium</t>
        </is>
      </c>
      <c r="J71" s="9" t="inlineStr"/>
      <c r="K71" s="9" t="inlineStr"/>
      <c r="L71" s="9" t="inlineStr"/>
    </row>
    <row r="72" ht="25.5" customHeight="1">
      <c r="A72" s="4" t="inlineStr">
        <is>
          <t>SEL-13</t>
        </is>
      </c>
      <c r="B72" s="3" t="inlineStr">
        <is>
          <t>Seller area</t>
        </is>
      </c>
      <c r="C72" s="3" t="inlineStr">
        <is>
          <t>Dashboard counters</t>
        </is>
      </c>
      <c r="D72" s="3" t="inlineStr">
        <is>
          <t>Seller with orders</t>
        </is>
      </c>
      <c r="E72" s="3" t="inlineStr">
        <is>
          <t>1.
Open the dashboard.</t>
        </is>
      </c>
      <c r="F72" s="3" t="inlineStr">
        <is>
          <t>—</t>
        </is>
      </c>
      <c r="G72" s="3" t="inlineStr">
        <is>
          <t>Orders to deliver counts PAID and CONFIRMED orders; wallet balance; plan usage.</t>
        </is>
      </c>
      <c r="H72" s="7" t="inlineStr">
        <is>
          <t>Success</t>
        </is>
      </c>
      <c r="I72" s="3" t="inlineStr">
        <is>
          <t>Low</t>
        </is>
      </c>
      <c r="J72" s="9" t="inlineStr"/>
      <c r="K72" s="9" t="inlineStr"/>
      <c r="L72" s="9" t="inlineStr"/>
    </row>
    <row r="73" ht="89.25" customHeight="1">
      <c r="A73" s="4" t="inlineStr">
        <is>
          <t>SEL-14</t>
        </is>
      </c>
      <c r="B73" s="3" t="inlineStr">
        <is>
          <t>Seller area</t>
        </is>
      </c>
      <c r="C73" s="3" t="inlineStr">
        <is>
          <t>Apply to a flash campaign</t>
        </is>
      </c>
      <c r="D73" s="3" t="inlineStr">
        <is>
          <t>Published campaign with applications open</t>
        </is>
      </c>
      <c r="E73" s="3" t="inlineStr">
        <is>
          <t>1.
Open Flash deals.
2.
Pick a listing, enter a price ≥ minimum discount, add a note.
3.
Submit.</t>
        </is>
      </c>
      <c r="F73" s="3" t="inlineStr">
        <is>
          <t>e.g. 20,000 → 15,000 (25%)</t>
        </is>
      </c>
      <c r="G73" s="3" t="inlineStr">
        <is>
          <t>Application listed as Pending review with the discount %; admin sees it.</t>
        </is>
      </c>
      <c r="H73" s="7" t="inlineStr">
        <is>
          <t>Success</t>
        </is>
      </c>
      <c r="I73" s="3" t="inlineStr">
        <is>
          <t>High</t>
        </is>
      </c>
      <c r="J73" s="9" t="inlineStr"/>
      <c r="K73" s="9" t="inlineStr"/>
      <c r="L73" s="9" t="inlineStr"/>
    </row>
    <row r="74" ht="25.5" customHeight="1">
      <c r="A74" s="4" t="inlineStr">
        <is>
          <t>SEL-15</t>
        </is>
      </c>
      <c r="B74" s="3" t="inlineStr">
        <is>
          <t>Seller area</t>
        </is>
      </c>
      <c r="C74" s="3" t="inlineStr">
        <is>
          <t>Flash application below the minimum discount</t>
        </is>
      </c>
      <c r="D74" s="3" t="inlineStr">
        <is>
          <t>Campaign minimum 15%</t>
        </is>
      </c>
      <c r="E74" s="3" t="inlineStr">
        <is>
          <t>1.
Propose 19,000 on a 20,000 listing.</t>
        </is>
      </c>
      <c r="F74" s="3" t="inlineStr">
        <is>
          <t>—</t>
        </is>
      </c>
      <c r="G74" s="3" t="inlineStr">
        <is>
          <t>Form blocks it; API 422 FLASH_DISCOUNT_TOO_SMALL.</t>
        </is>
      </c>
      <c r="H74" s="10" t="inlineStr">
        <is>
          <t>Failure (expected error)</t>
        </is>
      </c>
      <c r="I74" s="3" t="inlineStr">
        <is>
          <t>Medium</t>
        </is>
      </c>
      <c r="J74" s="9" t="inlineStr"/>
      <c r="K74" s="9" t="inlineStr"/>
      <c r="L74" s="9" t="inlineStr"/>
    </row>
    <row r="75" ht="25.5" customHeight="1">
      <c r="A75" s="4" t="inlineStr">
        <is>
          <t>SEL-16</t>
        </is>
      </c>
      <c r="B75" s="3" t="inlineStr">
        <is>
          <t>Seller area</t>
        </is>
      </c>
      <c r="C75" s="3" t="inlineStr">
        <is>
          <t>Duplicate flash application</t>
        </is>
      </c>
      <c r="D75" s="3" t="inlineStr">
        <is>
          <t>Listing already submitted</t>
        </is>
      </c>
      <c r="E75" s="3" t="inlineStr">
        <is>
          <t>1.
Submit the same listing again.</t>
        </is>
      </c>
      <c r="F75" s="3" t="inlineStr">
        <is>
          <t>—</t>
        </is>
      </c>
      <c r="G75" s="3" t="inlineStr">
        <is>
          <t>Refused (409); listing no longer offered in the select.</t>
        </is>
      </c>
      <c r="H75" s="10" t="inlineStr">
        <is>
          <t>Failure (expected error)</t>
        </is>
      </c>
      <c r="I75" s="3" t="inlineStr">
        <is>
          <t>Low</t>
        </is>
      </c>
      <c r="J75" s="9" t="inlineStr"/>
      <c r="K75" s="9" t="inlineStr"/>
      <c r="L75" s="9" t="inlineStr"/>
    </row>
    <row r="76" ht="25.5" customHeight="1">
      <c r="A76" s="4" t="inlineStr">
        <is>
          <t>SEL-17</t>
        </is>
      </c>
      <c r="B76" s="3" t="inlineStr">
        <is>
          <t>Seller area</t>
        </is>
      </c>
      <c r="C76" s="3" t="inlineStr">
        <is>
          <t>Withdraw a pending application</t>
        </is>
      </c>
      <c r="D76" s="3" t="inlineStr">
        <is>
          <t>Pending application</t>
        </is>
      </c>
      <c r="E76" s="3" t="inlineStr">
        <is>
          <t>1.
Click Withdraw.</t>
        </is>
      </c>
      <c r="F76" s="3" t="inlineStr">
        <is>
          <t>—</t>
        </is>
      </c>
      <c r="G76" s="3" t="inlineStr">
        <is>
          <t>Application removed; can be re-submitted.</t>
        </is>
      </c>
      <c r="H76" s="7" t="inlineStr">
        <is>
          <t>Success</t>
        </is>
      </c>
      <c r="I76" s="3" t="inlineStr">
        <is>
          <t>Low</t>
        </is>
      </c>
      <c r="J76" s="9" t="inlineStr"/>
      <c r="K76" s="9" t="inlineStr"/>
      <c r="L76" s="9" t="inlineStr"/>
    </row>
    <row r="77" ht="51" customHeight="1">
      <c r="A77" s="4" t="inlineStr">
        <is>
          <t>SEL-18</t>
        </is>
      </c>
      <c r="B77" s="3" t="inlineStr">
        <is>
          <t>Seller area</t>
        </is>
      </c>
      <c r="C77" s="3" t="inlineStr">
        <is>
          <t>Price locked during a live campaign</t>
        </is>
      </c>
      <c r="D77" s="3" t="inlineStr">
        <is>
          <t>Listing in a live campaign</t>
        </is>
      </c>
      <c r="E77" s="3" t="inlineStr">
        <is>
          <t>1.
Edit the listing price.
2.
Edit only the title.</t>
        </is>
      </c>
      <c r="F77" s="3" t="inlineStr">
        <is>
          <t>—</t>
        </is>
      </c>
      <c r="G77" s="3" t="inlineStr">
        <is>
          <t>Price edit refused (409 FLASH_PRICE_LOCKED); title edit saved.</t>
        </is>
      </c>
      <c r="H77" s="10" t="inlineStr">
        <is>
          <t>Failure (expected error)</t>
        </is>
      </c>
      <c r="I77" s="3" t="inlineStr">
        <is>
          <t>Medium</t>
        </is>
      </c>
      <c r="J77" s="9" t="inlineStr"/>
      <c r="K77" s="9" t="inlineStr"/>
      <c r="L77" s="9" t="inlineStr"/>
    </row>
    <row r="78" ht="25.5" customHeight="1">
      <c r="A78" s="4" t="inlineStr">
        <is>
          <t>SEL-19</t>
        </is>
      </c>
      <c r="B78" s="3" t="inlineStr">
        <is>
          <t>Seller area</t>
        </is>
      </c>
      <c r="C78" s="3" t="inlineStr">
        <is>
          <t>Flash notifications</t>
        </is>
      </c>
      <c r="D78" s="3" t="inlineStr">
        <is>
          <t>Application reviewed / campaign live / ended</t>
        </is>
      </c>
      <c r="E78" s="3" t="inlineStr">
        <is>
          <t>1.
Check the bell after each event.</t>
        </is>
      </c>
      <c r="F78" s="3" t="inlineStr">
        <is>
          <t>—</t>
        </is>
      </c>
      <c r="G78" s="3" t="inlineStr">
        <is>
          <t>Notifications "… is in &lt;campaign&gt;", "… was not accepted", "&lt;campaign&gt; is live", "&lt;campaign&gt; has ended" open the Flash deals page.</t>
        </is>
      </c>
      <c r="H78" s="7" t="inlineStr">
        <is>
          <t>Success</t>
        </is>
      </c>
      <c r="I78" s="3" t="inlineStr">
        <is>
          <t>Low</t>
        </is>
      </c>
      <c r="J78" s="9" t="inlineStr"/>
      <c r="K78" s="9" t="inlineStr"/>
      <c r="L78" s="9" t="inlineStr"/>
    </row>
    <row r="79" ht="38.25" customHeight="1">
      <c r="A79" s="4" t="inlineStr">
        <is>
          <t>ADM-01</t>
        </is>
      </c>
      <c r="B79" s="3" t="inlineStr">
        <is>
          <t>Back-office</t>
        </is>
      </c>
      <c r="C79" s="3" t="inlineStr">
        <is>
          <t>Access control</t>
        </is>
      </c>
      <c r="D79" s="3" t="inlineStr">
        <is>
          <t>Accounts of each role</t>
        </is>
      </c>
      <c r="E79" s="3" t="inlineStr">
        <is>
          <t>1.
Open /admin as customer, CS, accountant, super admin.</t>
        </is>
      </c>
      <c r="F79" s="3" t="inlineStr">
        <is>
          <t>—</t>
        </is>
      </c>
      <c r="G79" s="3" t="inlineStr">
        <is>
          <t>Customer: forbidden page; staff roles see the dashboard with menu entries matching their role (finance entries only for accountant/SA).</t>
        </is>
      </c>
      <c r="H79" s="7" t="inlineStr">
        <is>
          <t>Success</t>
        </is>
      </c>
      <c r="I79" s="3" t="inlineStr">
        <is>
          <t>High</t>
        </is>
      </c>
      <c r="J79" s="9" t="inlineStr"/>
      <c r="K79" s="9" t="inlineStr"/>
      <c r="L79" s="9" t="inlineStr"/>
    </row>
    <row r="80" ht="25.5" customHeight="1">
      <c r="A80" s="4" t="inlineStr">
        <is>
          <t>ADM-02</t>
        </is>
      </c>
      <c r="B80" s="3" t="inlineStr">
        <is>
          <t>Back-office</t>
        </is>
      </c>
      <c r="C80" s="3" t="inlineStr">
        <is>
          <t>Dashboard</t>
        </is>
      </c>
      <c r="D80" s="3" t="inlineStr">
        <is>
          <t>Data present</t>
        </is>
      </c>
      <c r="E80" s="3" t="inlineStr">
        <is>
          <t>1.
Open /admin.</t>
        </is>
      </c>
      <c r="F80" s="3" t="inlineStr">
        <is>
          <t>—</t>
        </is>
      </c>
      <c r="G80" s="3" t="inlineStr">
        <is>
          <t>Stat cards (users, stores, listings, orders, escrow) with links; recent activity.</t>
        </is>
      </c>
      <c r="H80" s="7" t="inlineStr">
        <is>
          <t>Success</t>
        </is>
      </c>
      <c r="I80" s="3" t="inlineStr">
        <is>
          <t>Low</t>
        </is>
      </c>
      <c r="J80" s="9" t="inlineStr"/>
      <c r="K80" s="9" t="inlineStr"/>
      <c r="L80" s="9" t="inlineStr"/>
    </row>
    <row r="81" ht="76.5" customHeight="1">
      <c r="A81" s="4" t="inlineStr">
        <is>
          <t>ADM-03</t>
        </is>
      </c>
      <c r="B81" s="3" t="inlineStr">
        <is>
          <t>Back-office</t>
        </is>
      </c>
      <c r="C81" s="3" t="inlineStr">
        <is>
          <t>Users: roles and suspension</t>
        </is>
      </c>
      <c r="D81" s="3" t="inlineStr">
        <is>
          <t>SA and CS logged in</t>
        </is>
      </c>
      <c r="E81" s="3" t="inlineStr">
        <is>
          <t>1.
As SA change a user's role.
2.
As CS suspend a customer.
3.
As CS try to suspend the SA.</t>
        </is>
      </c>
      <c r="F81" s="3" t="inlineStr">
        <is>
          <t>—</t>
        </is>
      </c>
      <c r="G81" s="3" t="inlineStr">
        <is>
          <t>1 and 2 succeed with audit entries; 3 refused (INSUFFICIENT_RANK).</t>
        </is>
      </c>
      <c r="H81" s="7" t="inlineStr">
        <is>
          <t>Success</t>
        </is>
      </c>
      <c r="I81" s="3" t="inlineStr">
        <is>
          <t>High</t>
        </is>
      </c>
      <c r="J81" s="9" t="inlineStr"/>
      <c r="K81" s="9" t="inlineStr"/>
      <c r="L81" s="9" t="inlineStr"/>
    </row>
    <row r="82" ht="76.5" customHeight="1">
      <c r="A82" s="4" t="inlineStr">
        <is>
          <t>ADM-04</t>
        </is>
      </c>
      <c r="B82" s="3" t="inlineStr">
        <is>
          <t>Back-office</t>
        </is>
      </c>
      <c r="C82" s="3" t="inlineStr">
        <is>
          <t>Stores: suspend and reactivate</t>
        </is>
      </c>
      <c r="D82" s="3" t="inlineStr">
        <is>
          <t>Active store with listings</t>
        </is>
      </c>
      <c r="E82" s="3" t="inlineStr">
        <is>
          <t>1.
Suspend the store.
2.
Browse its listings.
3.
Reactivate.</t>
        </is>
      </c>
      <c r="F82" s="3" t="inlineStr">
        <is>
          <t>—</t>
        </is>
      </c>
      <c r="G82" s="3" t="inlineStr">
        <is>
          <t>Suspended store and all its listings disappear from the storefront; reactivation brings them back within a minute.</t>
        </is>
      </c>
      <c r="H82" s="7" t="inlineStr">
        <is>
          <t>Success</t>
        </is>
      </c>
      <c r="I82" s="3" t="inlineStr">
        <is>
          <t>High</t>
        </is>
      </c>
      <c r="J82" s="9" t="inlineStr"/>
      <c r="K82" s="9" t="inlineStr"/>
      <c r="L82" s="9" t="inlineStr"/>
    </row>
    <row r="83" ht="76.5" customHeight="1">
      <c r="A83" s="4" t="inlineStr">
        <is>
          <t>ADM-05</t>
        </is>
      </c>
      <c r="B83" s="3" t="inlineStr">
        <is>
          <t>Back-office</t>
        </is>
      </c>
      <c r="C83" s="3" t="inlineStr">
        <is>
          <t>Listings: archive and feature</t>
        </is>
      </c>
      <c r="D83" s="3" t="inlineStr">
        <is>
          <t>Listings</t>
        </is>
      </c>
      <c r="E83" s="3" t="inlineStr">
        <is>
          <t>1.
Archive a listing.
2.
Feature another for 96 h.
3.
Unfeature.</t>
        </is>
      </c>
      <c r="F83" s="3" t="inlineStr">
        <is>
          <t>—</t>
        </is>
      </c>
      <c r="G83" s="3" t="inlineStr">
        <is>
          <t>Archived listing hidden; featured one appears in the hero; unfeature removes it at once.</t>
        </is>
      </c>
      <c r="H83" s="7" t="inlineStr">
        <is>
          <t>Success</t>
        </is>
      </c>
      <c r="I83" s="3" t="inlineStr">
        <is>
          <t>Medium</t>
        </is>
      </c>
      <c r="J83" s="9" t="inlineStr"/>
      <c r="K83" s="9" t="inlineStr"/>
      <c r="L83" s="9" t="inlineStr"/>
    </row>
    <row r="84" ht="76.5" customHeight="1">
      <c r="A84" s="4" t="inlineStr">
        <is>
          <t>ADM-06</t>
        </is>
      </c>
      <c r="B84" s="3" t="inlineStr">
        <is>
          <t>Back-office</t>
        </is>
      </c>
      <c r="C84" s="3" t="inlineStr">
        <is>
          <t>Categories</t>
        </is>
      </c>
      <c r="D84" s="3" t="inlineStr">
        <is>
          <t>CS or SA</t>
        </is>
      </c>
      <c r="E84" s="3" t="inlineStr">
        <is>
          <t>1.
Create a category with an image.
2.
Edit its name.
3.
Delete an empty one.</t>
        </is>
      </c>
      <c r="F84" s="3" t="inlineStr">
        <is>
          <t>—</t>
        </is>
      </c>
      <c r="G84" s="3" t="inlineStr">
        <is>
          <t>Appears in sidebar/strip/select within a minute; delete of a category that has listings is refused.</t>
        </is>
      </c>
      <c r="H84" s="7" t="inlineStr">
        <is>
          <t>Success</t>
        </is>
      </c>
      <c r="I84" s="3" t="inlineStr">
        <is>
          <t>Medium</t>
        </is>
      </c>
      <c r="J84" s="9" t="inlineStr"/>
      <c r="K84" s="9" t="inlineStr"/>
      <c r="L84" s="9" t="inlineStr"/>
    </row>
    <row r="85" ht="51" customHeight="1">
      <c r="A85" s="4" t="inlineStr">
        <is>
          <t>ADM-07</t>
        </is>
      </c>
      <c r="B85" s="3" t="inlineStr">
        <is>
          <t>Back-office</t>
        </is>
      </c>
      <c r="C85" s="3" t="inlineStr">
        <is>
          <t>Plans</t>
        </is>
      </c>
      <c r="D85" s="3" t="inlineStr">
        <is>
          <t>SA</t>
        </is>
      </c>
      <c r="E85" s="3" t="inlineStr">
        <is>
          <t>1.
Edit the Business plan price.
2.
Hide the Starter plan.</t>
        </is>
      </c>
      <c r="F85" s="3" t="inlineStr">
        <is>
          <t>—</t>
        </is>
      </c>
      <c r="G85" s="3" t="inlineStr">
        <is>
          <t>Sellers see the new price; hidden plan no longer offered; existing subscriptions untouched.</t>
        </is>
      </c>
      <c r="H85" s="7" t="inlineStr">
        <is>
          <t>Success</t>
        </is>
      </c>
      <c r="I85" s="3" t="inlineStr">
        <is>
          <t>Low</t>
        </is>
      </c>
      <c r="J85" s="9" t="inlineStr"/>
      <c r="K85" s="9" t="inlineStr"/>
      <c r="L85" s="9" t="inlineStr"/>
    </row>
    <row r="86" ht="25.5" customHeight="1">
      <c r="A86" s="4" t="inlineStr">
        <is>
          <t>ADM-08</t>
        </is>
      </c>
      <c r="B86" s="3" t="inlineStr">
        <is>
          <t>Back-office</t>
        </is>
      </c>
      <c r="C86" s="3" t="inlineStr">
        <is>
          <t>Disputes: release to seller</t>
        </is>
      </c>
      <c r="D86" s="3" t="inlineStr">
        <is>
          <t>Disputed paid order, accountant/SA</t>
        </is>
      </c>
      <c r="E86" s="3" t="inlineStr">
        <is>
          <t>1.
Resolve in favour of the seller.</t>
        </is>
      </c>
      <c r="F86" s="3" t="inlineStr">
        <is>
          <t>—</t>
        </is>
      </c>
      <c r="G86" s="3" t="inlineStr">
        <is>
          <t>Escrow released to the seller wallet; order COMPLETED; both notified; audit entry.</t>
        </is>
      </c>
      <c r="H86" s="7" t="inlineStr">
        <is>
          <t>Success</t>
        </is>
      </c>
      <c r="I86" s="3" t="inlineStr">
        <is>
          <t>High</t>
        </is>
      </c>
      <c r="J86" s="9" t="inlineStr"/>
      <c r="K86" s="9" t="inlineStr"/>
      <c r="L86" s="9" t="inlineStr"/>
    </row>
    <row r="87" ht="25.5" customHeight="1">
      <c r="A87" s="4" t="inlineStr">
        <is>
          <t>ADM-09</t>
        </is>
      </c>
      <c r="B87" s="3" t="inlineStr">
        <is>
          <t>Back-office</t>
        </is>
      </c>
      <c r="C87" s="3" t="inlineStr">
        <is>
          <t>Disputes: refund the buyer</t>
        </is>
      </c>
      <c r="D87" s="3" t="inlineStr">
        <is>
          <t>Disputed paid order, K-Pay live</t>
        </is>
      </c>
      <c r="E87" s="3" t="inlineStr">
        <is>
          <t>1.
Resolve in favour of the buyer with the buyer's phone.</t>
        </is>
      </c>
      <c r="F87" s="3" t="inlineStr">
        <is>
          <t>—</t>
        </is>
      </c>
      <c r="G87" s="3" t="inlineStr">
        <is>
          <t>Refund row created and sent via K-Pay; order REFUNDED; buyer notified; retry available if the payout fails.</t>
        </is>
      </c>
      <c r="H87" s="11" t="inlineStr">
        <is>
          <t>Blocked (needs provider key)</t>
        </is>
      </c>
      <c r="I87" s="3" t="inlineStr">
        <is>
          <t>High</t>
        </is>
      </c>
      <c r="J87" s="9" t="inlineStr"/>
      <c r="K87" s="9" t="inlineStr"/>
      <c r="L87" s="9" t="inlineStr"/>
    </row>
    <row r="88" ht="25.5" customHeight="1">
      <c r="A88" s="4" t="inlineStr">
        <is>
          <t>ADM-10</t>
        </is>
      </c>
      <c r="B88" s="3" t="inlineStr">
        <is>
          <t>Back-office</t>
        </is>
      </c>
      <c r="C88" s="3" t="inlineStr">
        <is>
          <t>Customer service cannot move money</t>
        </is>
      </c>
      <c r="D88" s="3" t="inlineStr">
        <is>
          <t>CS logged in</t>
        </is>
      </c>
      <c r="E88" s="3" t="inlineStr">
        <is>
          <t>1.
Try to release escrow / refund / approve a withdrawal.</t>
        </is>
      </c>
      <c r="F88" s="3" t="inlineStr">
        <is>
          <t>—</t>
        </is>
      </c>
      <c r="G88" s="3" t="inlineStr">
        <is>
          <t>All refused with 403; buttons hidden for CS.</t>
        </is>
      </c>
      <c r="H88" s="10" t="inlineStr">
        <is>
          <t>Failure (expected error)</t>
        </is>
      </c>
      <c r="I88" s="3" t="inlineStr">
        <is>
          <t>High</t>
        </is>
      </c>
      <c r="J88" s="9" t="inlineStr"/>
      <c r="K88" s="9" t="inlineStr"/>
      <c r="L88" s="9" t="inlineStr"/>
    </row>
    <row r="89" ht="51" customHeight="1">
      <c r="A89" s="4" t="inlineStr">
        <is>
          <t>ADM-11</t>
        </is>
      </c>
      <c r="B89" s="3" t="inlineStr">
        <is>
          <t>Back-office</t>
        </is>
      </c>
      <c r="C89" s="3" t="inlineStr">
        <is>
          <t>Withdrawals</t>
        </is>
      </c>
      <c r="D89" s="3" t="inlineStr">
        <is>
          <t>Pending withdrawal, accountant</t>
        </is>
      </c>
      <c r="E89" s="3" t="inlineStr">
        <is>
          <t>1.
Approve one.
2.
Reject another.</t>
        </is>
      </c>
      <c r="F89" s="3" t="inlineStr">
        <is>
          <t>—</t>
        </is>
      </c>
      <c r="G89" s="3" t="inlineStr">
        <is>
          <t>Approved goes to payout (K-Pay); rejected returns the reserved amount to the wallet; seller notified.</t>
        </is>
      </c>
      <c r="H89" s="7" t="inlineStr">
        <is>
          <t>Success</t>
        </is>
      </c>
      <c r="I89" s="3" t="inlineStr">
        <is>
          <t>Medium</t>
        </is>
      </c>
      <c r="J89" s="9" t="inlineStr"/>
      <c r="K89" s="9" t="inlineStr"/>
      <c r="L89" s="9" t="inlineStr"/>
    </row>
    <row r="90" ht="51" customHeight="1">
      <c r="A90" s="4" t="inlineStr">
        <is>
          <t>ADM-12</t>
        </is>
      </c>
      <c r="B90" s="3" t="inlineStr">
        <is>
          <t>Back-office</t>
        </is>
      </c>
      <c r="C90" s="3" t="inlineStr">
        <is>
          <t>Support inbox</t>
        </is>
      </c>
      <c r="D90" s="3" t="inlineStr">
        <is>
          <t>A contact message sent from /help/contact</t>
        </is>
      </c>
      <c r="E90" s="3" t="inlineStr">
        <is>
          <t>1.
Open Support.
2.
Reply.</t>
        </is>
      </c>
      <c r="F90" s="3" t="inlineStr">
        <is>
          <t>—</t>
        </is>
      </c>
      <c r="G90" s="3" t="inlineStr">
        <is>
          <t>Message listed with sender; reply stored and status updated.</t>
        </is>
      </c>
      <c r="H90" s="7" t="inlineStr">
        <is>
          <t>Success</t>
        </is>
      </c>
      <c r="I90" s="3" t="inlineStr">
        <is>
          <t>Low</t>
        </is>
      </c>
      <c r="J90" s="9" t="inlineStr"/>
      <c r="K90" s="9" t="inlineStr"/>
      <c r="L90" s="9" t="inlineStr"/>
    </row>
    <row r="91" ht="51" customHeight="1">
      <c r="A91" s="4" t="inlineStr">
        <is>
          <t>ADM-13</t>
        </is>
      </c>
      <c r="B91" s="3" t="inlineStr">
        <is>
          <t>Back-office</t>
        </is>
      </c>
      <c r="C91" s="3" t="inlineStr">
        <is>
          <t>Audit log</t>
        </is>
      </c>
      <c r="D91" s="3" t="inlineStr">
        <is>
          <t>Some admin actions done</t>
        </is>
      </c>
      <c r="E91" s="3" t="inlineStr">
        <is>
          <t>1.
Open Audit.
2.
Filter by action.</t>
        </is>
      </c>
      <c r="F91" s="3" t="inlineStr">
        <is>
          <t>—</t>
        </is>
      </c>
      <c r="G91" s="3" t="inlineStr">
        <is>
          <t>Every admin action above is listed with actor, IP, time and metadata.</t>
        </is>
      </c>
      <c r="H91" s="7" t="inlineStr">
        <is>
          <t>Success</t>
        </is>
      </c>
      <c r="I91" s="3" t="inlineStr">
        <is>
          <t>Medium</t>
        </is>
      </c>
      <c r="J91" s="9" t="inlineStr"/>
      <c r="K91" s="9" t="inlineStr"/>
      <c r="L91" s="9" t="inlineStr"/>
    </row>
    <row r="92" ht="51" customHeight="1">
      <c r="A92" s="4" t="inlineStr">
        <is>
          <t>ADM-14</t>
        </is>
      </c>
      <c r="B92" s="3" t="inlineStr">
        <is>
          <t>Back-office</t>
        </is>
      </c>
      <c r="C92" s="3" t="inlineStr">
        <is>
          <t>Run a job manually</t>
        </is>
      </c>
      <c r="D92" s="3" t="inlineStr">
        <is>
          <t>SA</t>
        </is>
      </c>
      <c r="E92" s="3" t="inlineStr">
        <is>
          <t>1.
Open Jobs.
2.
Run flash-campaigns and view-counts.</t>
        </is>
      </c>
      <c r="F92" s="3" t="inlineStr">
        <is>
          <t>—</t>
        </is>
      </c>
      <c r="G92" s="3" t="inlineStr">
        <is>
          <t>Runs report ok with a summary; CS/accountant get 403.</t>
        </is>
      </c>
      <c r="H92" s="7" t="inlineStr">
        <is>
          <t>Success</t>
        </is>
      </c>
      <c r="I92" s="3" t="inlineStr">
        <is>
          <t>Low</t>
        </is>
      </c>
      <c r="J92" s="9" t="inlineStr"/>
      <c r="K92" s="9" t="inlineStr"/>
      <c r="L92" s="9" t="inlineStr"/>
    </row>
    <row r="93" ht="63.75" customHeight="1">
      <c r="A93" s="4" t="inlineStr">
        <is>
          <t>ADM-15</t>
        </is>
      </c>
      <c r="B93" s="3" t="inlineStr">
        <is>
          <t>Back-office</t>
        </is>
      </c>
      <c r="C93" s="3" t="inlineStr">
        <is>
          <t>Create and publish a flash campaign</t>
        </is>
      </c>
      <c r="D93" s="3" t="inlineStr">
        <is>
          <t>CS or SA</t>
        </is>
      </c>
      <c r="E93" s="3" t="inlineStr">
        <is>
          <t>1.
New campaign: name, description, start in 10 min, end in 2 h, min discount 10%.
2.
Publish.</t>
        </is>
      </c>
      <c r="F93" s="3" t="inlineStr">
        <is>
          <t>—</t>
        </is>
      </c>
      <c r="G93" s="3" t="inlineStr">
        <is>
          <t>Campaign listed as Scheduled; storefront shows "Next flash sale" teaser with countdown; sellers see it under open campaigns.</t>
        </is>
      </c>
      <c r="H93" s="7" t="inlineStr">
        <is>
          <t>Success</t>
        </is>
      </c>
      <c r="I93" s="3" t="inlineStr">
        <is>
          <t>High</t>
        </is>
      </c>
      <c r="J93" s="9" t="inlineStr"/>
      <c r="K93" s="9" t="inlineStr"/>
      <c r="L93" s="9" t="inlineStr"/>
    </row>
    <row r="94" ht="25.5" customHeight="1">
      <c r="A94" s="4" t="inlineStr">
        <is>
          <t>ADM-16</t>
        </is>
      </c>
      <c r="B94" s="3" t="inlineStr">
        <is>
          <t>Back-office</t>
        </is>
      </c>
      <c r="C94" s="3" t="inlineStr">
        <is>
          <t>Campaign dates validation</t>
        </is>
      </c>
      <c r="D94" s="3" t="inlineStr">
        <is>
          <t>CS or SA</t>
        </is>
      </c>
      <c r="E94" s="3" t="inlineStr">
        <is>
          <t>1.
Create a campaign ending before it starts.</t>
        </is>
      </c>
      <c r="F94" s="3" t="inlineStr">
        <is>
          <t>—</t>
        </is>
      </c>
      <c r="G94" s="3" t="inlineStr">
        <is>
          <t>422 "must end after it starts".</t>
        </is>
      </c>
      <c r="H94" s="10" t="inlineStr">
        <is>
          <t>Failure (expected error)</t>
        </is>
      </c>
      <c r="I94" s="3" t="inlineStr">
        <is>
          <t>Low</t>
        </is>
      </c>
      <c r="J94" s="9" t="inlineStr"/>
      <c r="K94" s="9" t="inlineStr"/>
      <c r="L94" s="9" t="inlineStr"/>
    </row>
    <row r="95" ht="102" customHeight="1">
      <c r="A95" s="4" t="inlineStr">
        <is>
          <t>ADM-17</t>
        </is>
      </c>
      <c r="B95" s="3" t="inlineStr">
        <is>
          <t>Back-office</t>
        </is>
      </c>
      <c r="C95" s="3" t="inlineStr">
        <is>
          <t>Add a listing to a campaign</t>
        </is>
      </c>
      <c r="D95" s="3" t="inlineStr">
        <is>
          <t>Campaign exists</t>
        </is>
      </c>
      <c r="E95" s="3" t="inlineStr">
        <is>
          <t>1.
Search the catalogue in the detail page.
2.
Pick a listing, enter a price with ≥ min discount.
3.
Add.
4.
Try a price above the minimum discount.</t>
        </is>
      </c>
      <c r="F95" s="3" t="inlineStr">
        <is>
          <t>—</t>
        </is>
      </c>
      <c r="G95" s="3" t="inlineStr">
        <is>
          <t>Listing added as Approved (live immediately if the campaign is running); too-small discount refused.</t>
        </is>
      </c>
      <c r="H95" s="7" t="inlineStr">
        <is>
          <t>Success</t>
        </is>
      </c>
      <c r="I95" s="3" t="inlineStr">
        <is>
          <t>High</t>
        </is>
      </c>
      <c r="J95" s="9" t="inlineStr"/>
      <c r="K95" s="9" t="inlineStr"/>
      <c r="L95" s="9" t="inlineStr"/>
    </row>
    <row r="96" ht="51" customHeight="1">
      <c r="A96" s="4" t="inlineStr">
        <is>
          <t>ADM-18</t>
        </is>
      </c>
      <c r="B96" s="3" t="inlineStr">
        <is>
          <t>Back-office</t>
        </is>
      </c>
      <c r="C96" s="3" t="inlineStr">
        <is>
          <t>Review seller applications</t>
        </is>
      </c>
      <c r="D96" s="3" t="inlineStr">
        <is>
          <t>Pending applications</t>
        </is>
      </c>
      <c r="E96" s="3" t="inlineStr">
        <is>
          <t>1.
Approve one (optionally with a corrected price).
2.
Reject one with a note.</t>
        </is>
      </c>
      <c r="F96" s="3" t="inlineStr">
        <is>
          <t>—</t>
        </is>
      </c>
      <c r="G96" s="3" t="inlineStr">
        <is>
          <t>Statuses update; sellers notified; corrected price shown.</t>
        </is>
      </c>
      <c r="H96" s="7" t="inlineStr">
        <is>
          <t>Success</t>
        </is>
      </c>
      <c r="I96" s="3" t="inlineStr">
        <is>
          <t>High</t>
        </is>
      </c>
      <c r="J96" s="9" t="inlineStr"/>
      <c r="K96" s="9" t="inlineStr"/>
      <c r="L96" s="9" t="inlineStr"/>
    </row>
    <row r="97" ht="25.5" customHeight="1">
      <c r="A97" s="4" t="inlineStr">
        <is>
          <t>ADM-19</t>
        </is>
      </c>
      <c r="B97" s="3" t="inlineStr">
        <is>
          <t>Back-office</t>
        </is>
      </c>
      <c r="C97" s="3" t="inlineStr">
        <is>
          <t>Campaign goes live on time</t>
        </is>
      </c>
      <c r="D97" s="3" t="inlineStr">
        <is>
          <t>Scheduled campaign with approved items</t>
        </is>
      </c>
      <c r="E97" s="3" t="inlineStr">
        <is>
          <t>1.
Wait for the start time (job runs every 30 s).</t>
        </is>
      </c>
      <c r="F97" s="3" t="inlineStr">
        <is>
          <t>—</t>
        </is>
      </c>
      <c r="G97" s="3" t="inlineStr">
        <is>
          <t>Listing prices switch to campaign prices, old prices shown struck through; home block and /deals banner show the campaign; sellers notified.</t>
        </is>
      </c>
      <c r="H97" s="7" t="inlineStr">
        <is>
          <t>Success</t>
        </is>
      </c>
      <c r="I97" s="3" t="inlineStr">
        <is>
          <t>High</t>
        </is>
      </c>
      <c r="J97" s="9" t="inlineStr"/>
      <c r="K97" s="9" t="inlineStr"/>
      <c r="L97" s="9" t="inlineStr"/>
    </row>
    <row r="98" ht="25.5" customHeight="1">
      <c r="A98" s="4" t="inlineStr">
        <is>
          <t>ADM-20</t>
        </is>
      </c>
      <c r="B98" s="3" t="inlineStr">
        <is>
          <t>Back-office</t>
        </is>
      </c>
      <c r="C98" s="3" t="inlineStr">
        <is>
          <t>Campaign ends on time</t>
        </is>
      </c>
      <c r="D98" s="3" t="inlineStr">
        <is>
          <t>Live campaign reaching its end</t>
        </is>
      </c>
      <c r="E98" s="3" t="inlineStr">
        <is>
          <t>1.
Wait for the end time.</t>
        </is>
      </c>
      <c r="F98" s="3" t="inlineStr">
        <is>
          <t>—</t>
        </is>
      </c>
      <c r="G98" s="3" t="inlineStr">
        <is>
          <t>Prices restored (including the seller's own old price); campaign phase Ended; sellers notified.</t>
        </is>
      </c>
      <c r="H98" s="7" t="inlineStr">
        <is>
          <t>Success</t>
        </is>
      </c>
      <c r="I98" s="3" t="inlineStr">
        <is>
          <t>High</t>
        </is>
      </c>
      <c r="J98" s="9" t="inlineStr"/>
      <c r="K98" s="9" t="inlineStr"/>
      <c r="L98" s="9" t="inlineStr"/>
    </row>
    <row r="99" ht="25.5" customHeight="1">
      <c r="A99" s="4" t="inlineStr">
        <is>
          <t>ADM-21</t>
        </is>
      </c>
      <c r="B99" s="3" t="inlineStr">
        <is>
          <t>Back-office</t>
        </is>
      </c>
      <c r="C99" s="3" t="inlineStr">
        <is>
          <t>Cancel a live campaign</t>
        </is>
      </c>
      <c r="D99" s="3" t="inlineStr">
        <is>
          <t>Live campaign</t>
        </is>
      </c>
      <c r="E99" s="3" t="inlineStr">
        <is>
          <t>1.
Cancel it.</t>
        </is>
      </c>
      <c r="F99" s="3" t="inlineStr">
        <is>
          <t>—</t>
        </is>
      </c>
      <c r="G99" s="3" t="inlineStr">
        <is>
          <t>Prices restored immediately; status Cancelled; cannot be edited afterwards.</t>
        </is>
      </c>
      <c r="H99" s="7" t="inlineStr">
        <is>
          <t>Success</t>
        </is>
      </c>
      <c r="I99" s="3" t="inlineStr">
        <is>
          <t>Medium</t>
        </is>
      </c>
      <c r="J99" s="9" t="inlineStr"/>
      <c r="K99" s="9" t="inlineStr"/>
      <c r="L99" s="9" t="inlineStr"/>
    </row>
    <row r="100" ht="51" customHeight="1">
      <c r="A100" s="4" t="inlineStr">
        <is>
          <t>ADM-22</t>
        </is>
      </c>
      <c r="B100" s="3" t="inlineStr">
        <is>
          <t>Back-office</t>
        </is>
      </c>
      <c r="C100" s="3" t="inlineStr">
        <is>
          <t>Accountant cannot manage campaigns</t>
        </is>
      </c>
      <c r="D100" s="3" t="inlineStr">
        <is>
          <t>Accountant logged in</t>
        </is>
      </c>
      <c r="E100" s="3" t="inlineStr">
        <is>
          <t>1.
Open /admin/flash-deals.
2.
Call POST /api/flash-campaigns.</t>
        </is>
      </c>
      <c r="F100" s="3" t="inlineStr">
        <is>
          <t>—</t>
        </is>
      </c>
      <c r="G100" s="3" t="inlineStr">
        <is>
          <t>Menu entry absent; API 403.</t>
        </is>
      </c>
      <c r="H100" s="10" t="inlineStr">
        <is>
          <t>Failure (expected error)</t>
        </is>
      </c>
      <c r="I100" s="3" t="inlineStr">
        <is>
          <t>Medium</t>
        </is>
      </c>
      <c r="J100" s="9" t="inlineStr"/>
      <c r="K100" s="9" t="inlineStr"/>
      <c r="L100" s="9" t="inlineStr"/>
    </row>
    <row r="101" ht="25.5" customHeight="1">
      <c r="A101" s="4" t="inlineStr">
        <is>
          <t>API-01</t>
        </is>
      </c>
      <c r="B101" s="3" t="inlineStr">
        <is>
          <t>API &amp; security</t>
        </is>
      </c>
      <c r="C101" s="3" t="inlineStr">
        <is>
          <t>Health endpoint</t>
        </is>
      </c>
      <c r="D101" s="3" t="inlineStr">
        <is>
          <t>None</t>
        </is>
      </c>
      <c r="E101" s="3" t="inlineStr">
        <is>
          <t>1.
GET /api/health.</t>
        </is>
      </c>
      <c r="F101" s="3" t="inlineStr">
        <is>
          <t>—</t>
        </is>
      </c>
      <c r="G101" s="3" t="inlineStr">
        <is>
          <t>200 with database ok and redis ok.</t>
        </is>
      </c>
      <c r="H101" s="7" t="inlineStr">
        <is>
          <t>Success</t>
        </is>
      </c>
      <c r="I101" s="3" t="inlineStr">
        <is>
          <t>High</t>
        </is>
      </c>
      <c r="J101" s="9" t="inlineStr"/>
      <c r="K101" s="9" t="inlineStr"/>
      <c r="L101" s="9" t="inlineStr"/>
    </row>
    <row r="102" ht="38.25" customHeight="1">
      <c r="A102" s="4" t="inlineStr">
        <is>
          <t>API-02</t>
        </is>
      </c>
      <c r="B102" s="3" t="inlineStr">
        <is>
          <t>API &amp; security</t>
        </is>
      </c>
      <c r="C102" s="3" t="inlineStr">
        <is>
          <t>General rate limit</t>
        </is>
      </c>
      <c r="D102" s="3" t="inlineStr">
        <is>
          <t>None</t>
        </is>
      </c>
      <c r="E102" s="3" t="inlineStr">
        <is>
          <t>1.
Send 130 requests in one minute to /api/categories from one IP.</t>
        </is>
      </c>
      <c r="F102" s="3" t="inlineStr">
        <is>
          <t>—</t>
        </is>
      </c>
      <c r="G102" s="3" t="inlineStr">
        <is>
          <t>Requests beyond the limit get 429 with Retry-After.</t>
        </is>
      </c>
      <c r="H102" s="10" t="inlineStr">
        <is>
          <t>Failure (expected error)</t>
        </is>
      </c>
      <c r="I102" s="3" t="inlineStr">
        <is>
          <t>Low</t>
        </is>
      </c>
      <c r="J102" s="9" t="inlineStr"/>
      <c r="K102" s="9" t="inlineStr"/>
      <c r="L102" s="9" t="inlineStr"/>
    </row>
    <row r="103" ht="51" customHeight="1">
      <c r="A103" s="4" t="inlineStr">
        <is>
          <t>API-03</t>
        </is>
      </c>
      <c r="B103" s="3" t="inlineStr">
        <is>
          <t>API &amp; security</t>
        </is>
      </c>
      <c r="C103" s="3" t="inlineStr">
        <is>
          <t>Role checks on the API</t>
        </is>
      </c>
      <c r="D103" s="3" t="inlineStr">
        <is>
          <t>Tokens for each role</t>
        </is>
      </c>
      <c r="E103" s="3" t="inlineStr">
        <is>
          <t>1.
Call an operations endpoint with the accountant token.
2.
Call a finance endpoint with the CS token.</t>
        </is>
      </c>
      <c r="F103" s="3" t="inlineStr">
        <is>
          <t>—</t>
        </is>
      </c>
      <c r="G103" s="3" t="inlineStr">
        <is>
          <t>Both 403 FORBIDDEN.</t>
        </is>
      </c>
      <c r="H103" s="10" t="inlineStr">
        <is>
          <t>Failure (expected error)</t>
        </is>
      </c>
      <c r="I103" s="3" t="inlineStr">
        <is>
          <t>High</t>
        </is>
      </c>
      <c r="J103" s="9" t="inlineStr"/>
      <c r="K103" s="9" t="inlineStr"/>
      <c r="L103" s="9" t="inlineStr"/>
    </row>
    <row r="104" ht="38.25" customHeight="1">
      <c r="A104" s="4" t="inlineStr">
        <is>
          <t>API-04</t>
        </is>
      </c>
      <c r="B104" s="3" t="inlineStr">
        <is>
          <t>API &amp; security</t>
        </is>
      </c>
      <c r="C104" s="3" t="inlineStr">
        <is>
          <t>K-Pay webhook signature</t>
        </is>
      </c>
      <c r="D104" s="3" t="inlineStr">
        <is>
          <t>None</t>
        </is>
      </c>
      <c r="E104" s="3" t="inlineStr">
        <is>
          <t>1.
POST a fake payment webhook without a valid signature.</t>
        </is>
      </c>
      <c r="F104" s="3" t="inlineStr">
        <is>
          <t>—</t>
        </is>
      </c>
      <c r="G104" s="3" t="inlineStr">
        <is>
          <t>Rejected (401/400); no order changes.</t>
        </is>
      </c>
      <c r="H104" s="10" t="inlineStr">
        <is>
          <t>Failure (expected error)</t>
        </is>
      </c>
      <c r="I104" s="3" t="inlineStr">
        <is>
          <t>High</t>
        </is>
      </c>
      <c r="J104" s="9" t="inlineStr"/>
      <c r="K104" s="9" t="inlineStr"/>
      <c r="L104" s="9" t="inlineStr"/>
    </row>
    <row r="105" ht="38.25" customHeight="1">
      <c r="A105" s="4" t="inlineStr">
        <is>
          <t>API-05</t>
        </is>
      </c>
      <c r="B105" s="3" t="inlineStr">
        <is>
          <t>API &amp; security</t>
        </is>
      </c>
      <c r="C105" s="3" t="inlineStr">
        <is>
          <t>CORS</t>
        </is>
      </c>
      <c r="D105" s="3" t="inlineStr">
        <is>
          <t>None</t>
        </is>
      </c>
      <c r="E105" s="3" t="inlineStr">
        <is>
          <t>1.
Call the API from a page on another origin with credentials.</t>
        </is>
      </c>
      <c r="F105" s="3" t="inlineStr">
        <is>
          <t>—</t>
        </is>
      </c>
      <c r="G105" s="3" t="inlineStr">
        <is>
          <t>Browser blocks it (no Access-Control-Allow-Origin for that origin).</t>
        </is>
      </c>
      <c r="H105" s="10" t="inlineStr">
        <is>
          <t>Failure (expected error)</t>
        </is>
      </c>
      <c r="I105" s="3" t="inlineStr">
        <is>
          <t>Low</t>
        </is>
      </c>
      <c r="J105" s="9" t="inlineStr"/>
      <c r="K105" s="9" t="inlineStr"/>
      <c r="L105" s="9" t="inlineStr"/>
    </row>
    <row r="106" ht="76.5" customHeight="1">
      <c r="A106" s="4" t="inlineStr">
        <is>
          <t>API-06</t>
        </is>
      </c>
      <c r="B106" s="3" t="inlineStr">
        <is>
          <t>API &amp; security</t>
        </is>
      </c>
      <c r="C106" s="3" t="inlineStr">
        <is>
          <t>Listing cache and busting</t>
        </is>
      </c>
      <c r="D106" s="3" t="inlineStr">
        <is>
          <t>Seller</t>
        </is>
      </c>
      <c r="E106" s="3" t="inlineStr">
        <is>
          <t>1.
Load /api/advertisements twice (second is a cache hit).
2.
Publish a listing.
3.
Load again.</t>
        </is>
      </c>
      <c r="F106" s="3" t="inlineStr">
        <is>
          <t>—</t>
        </is>
      </c>
      <c r="G106" s="3" t="inlineStr">
        <is>
          <t>Second call faster; after publish the new listing appears at once (cache busted).</t>
        </is>
      </c>
      <c r="H106" s="7" t="inlineStr">
        <is>
          <t>Success</t>
        </is>
      </c>
      <c r="I106" s="3" t="inlineStr">
        <is>
          <t>Low</t>
        </is>
      </c>
      <c r="J106" s="9" t="inlineStr"/>
      <c r="K106" s="9" t="inlineStr"/>
      <c r="L106" s="9" t="inlineStr"/>
    </row>
    <row r="107" ht="51" customHeight="1">
      <c r="A107" s="4" t="inlineStr">
        <is>
          <t>OPS-01</t>
        </is>
      </c>
      <c r="B107" s="3" t="inlineStr">
        <is>
          <t>Operations</t>
        </is>
      </c>
      <c r="C107" s="3" t="inlineStr">
        <is>
          <t>Containers restart cleanly</t>
        </is>
      </c>
      <c r="D107" s="3" t="inlineStr">
        <is>
          <t>SSH to the VPS</t>
        </is>
      </c>
      <c r="E107" s="3" t="inlineStr">
        <is>
          <t>1.
docker compose -f docker-compose.vps.yml restart.
2.
Watch logs.</t>
        </is>
      </c>
      <c r="F107" s="3" t="inlineStr">
        <is>
          <t>—</t>
        </is>
      </c>
      <c r="G107" s="3" t="inlineStr">
        <is>
          <t>Backend runs migrations then listens; all three services healthy; site answers within a minute.</t>
        </is>
      </c>
      <c r="H107" s="7" t="inlineStr">
        <is>
          <t>Success</t>
        </is>
      </c>
      <c r="I107" s="3" t="inlineStr">
        <is>
          <t>Medium</t>
        </is>
      </c>
      <c r="J107" s="9" t="inlineStr"/>
      <c r="K107" s="9" t="inlineStr"/>
      <c r="L107" s="9" t="inlineStr"/>
    </row>
    <row r="108" ht="25.5" customHeight="1">
      <c r="A108" s="4" t="inlineStr">
        <is>
          <t>OPS-02</t>
        </is>
      </c>
      <c r="B108" s="3" t="inlineStr">
        <is>
          <t>Operations</t>
        </is>
      </c>
      <c r="C108" s="3" t="inlineStr">
        <is>
          <t>HTTPS and redirect</t>
        </is>
      </c>
      <c r="D108" s="3" t="inlineStr">
        <is>
          <t>None</t>
        </is>
      </c>
      <c r="E108" s="3" t="inlineStr">
        <is>
          <t>1.
Open http://smartplaze.com.</t>
        </is>
      </c>
      <c r="F108" s="3" t="inlineStr">
        <is>
          <t>—</t>
        </is>
      </c>
      <c r="G108" s="3" t="inlineStr">
        <is>
          <t>Redirected to https with a valid certificate; API reachable under /api.</t>
        </is>
      </c>
      <c r="H108" s="7" t="inlineStr">
        <is>
          <t>Success</t>
        </is>
      </c>
      <c r="I108" s="3" t="inlineStr">
        <is>
          <t>High</t>
        </is>
      </c>
      <c r="J108" s="9" t="inlineStr"/>
      <c r="K108" s="9" t="inlineStr"/>
      <c r="L108" s="9" t="inlineStr"/>
    </row>
    <row r="109" ht="38.25" customHeight="1">
      <c r="A109" s="4" t="inlineStr">
        <is>
          <t>OPS-03</t>
        </is>
      </c>
      <c r="B109" s="3" t="inlineStr">
        <is>
          <t>Operations</t>
        </is>
      </c>
      <c r="C109" s="3" t="inlineStr">
        <is>
          <t>Sentry captures errors</t>
        </is>
      </c>
      <c r="D109" s="3" t="inlineStr">
        <is>
          <t>SENTRY_DSN set</t>
        </is>
      </c>
      <c r="E109" s="3" t="inlineStr">
        <is>
          <t>1.
Run the test event command from the runbook or cause a 500.</t>
        </is>
      </c>
      <c r="F109" s="3" t="inlineStr">
        <is>
          <t>—</t>
        </is>
      </c>
      <c r="G109" s="3" t="inlineStr">
        <is>
          <t>Event visible in the Sentry project within a minute with request id and environment.</t>
        </is>
      </c>
      <c r="H109" s="7" t="inlineStr">
        <is>
          <t>Success</t>
        </is>
      </c>
      <c r="I109" s="3" t="inlineStr">
        <is>
          <t>Low</t>
        </is>
      </c>
      <c r="J109" s="9" t="inlineStr"/>
      <c r="K109" s="9" t="inlineStr"/>
      <c r="L109" s="9" t="inlineStr"/>
    </row>
    <row r="110" ht="25.5" customHeight="1">
      <c r="A110" s="4" t="inlineStr">
        <is>
          <t>OPS-04</t>
        </is>
      </c>
      <c r="B110" s="3" t="inlineStr">
        <is>
          <t>Operations</t>
        </is>
      </c>
      <c r="C110" s="3" t="inlineStr">
        <is>
          <t>Background jobs schedule</t>
        </is>
      </c>
      <c r="D110" s="3" t="inlineStr">
        <is>
          <t>Backend running</t>
        </is>
      </c>
      <c r="E110" s="3" t="inlineStr">
        <is>
          <t>1.
Check backend logs for 10 minutes.</t>
        </is>
      </c>
      <c r="F110" s="3" t="inlineStr">
        <is>
          <t>—</t>
        </is>
      </c>
      <c r="G110" s="3" t="inlineStr">
        <is>
          <t>subscription-expiry, stale-payments, payout-status, audit-retention, view-counts and flash-campaigns run on their intervals without errors.</t>
        </is>
      </c>
      <c r="H110" s="7" t="inlineStr">
        <is>
          <t>Success</t>
        </is>
      </c>
      <c r="I110" s="3" t="inlineStr">
        <is>
          <t>Medium</t>
        </is>
      </c>
      <c r="J110" s="9" t="inlineStr"/>
      <c r="K110" s="9" t="inlineStr"/>
      <c r="L110" s="9" t="inlineStr"/>
    </row>
    <row r="111" ht="25.5" customHeight="1">
      <c r="A111" s="4" t="inlineStr">
        <is>
          <t>CHK-10</t>
        </is>
      </c>
      <c r="B111" s="3" t="inlineStr">
        <is>
          <t>Cart &amp; checkout</t>
        </is>
      </c>
      <c r="C111" s="3" t="inlineStr">
        <is>
          <t>Whole-cart checkout as a member (cash on delivery)</t>
        </is>
      </c>
      <c r="D111" s="3" t="inlineStr">
        <is>
          <t>Signed in with a verified email; cart holds 3 items from at least 2 stores, one of them with quantity 2</t>
        </is>
      </c>
      <c r="E111" s="3" t="inlineStr">
        <is>
          <t>1.
Open /cart and click "Checkout N items".
2.
Choose Cash on delivery, enter a delivery address and phone.
3.
Click "Place order · N items".</t>
        </is>
      </c>
      <c r="F111" s="3" t="inlineStr">
        <is>
          <t>tech.elite@smartmarket.dev / Seller123! buying Smart Trust items</t>
        </is>
      </c>
      <c r="G111" s="3" t="inlineStr">
        <is>
          <t>One confirmation screen with a single reference SM-XXXXXX, the item count and the grand total; one order line per listing (quantities merged); the cart is emptied; each seller receives a NEW_ORDER notification; My orders shows every line with the chip "SM-XXXXXX · N items".</t>
        </is>
      </c>
      <c r="H111" s="7" t="inlineStr">
        <is>
          <t>Success</t>
        </is>
      </c>
      <c r="I111" s="3" t="inlineStr">
        <is>
          <t>High</t>
        </is>
      </c>
      <c r="J111" s="9" t="inlineStr"/>
      <c r="K111" s="9" t="inlineStr"/>
      <c r="L111" s="9" t="inlineStr"/>
    </row>
    <row r="112" ht="25.5" customHeight="1">
      <c r="A112" s="4" t="inlineStr">
        <is>
          <t>CHK-11</t>
        </is>
      </c>
      <c r="B112" s="3" t="inlineStr">
        <is>
          <t>Cart &amp; checkout</t>
        </is>
      </c>
      <c r="C112" s="3" t="inlineStr">
        <is>
          <t>Whole-cart checkout paid once with Mobile Money</t>
        </is>
      </c>
      <c r="D112" s="3" t="inlineStr">
        <is>
          <t>Signed in; cart holds 2+ items; K-Pay keys configured</t>
        </is>
      </c>
      <c r="E112" s="3" t="inlineStr">
        <is>
          <t>1.
Open /checkout, keep Mobile Money, pick the operator and enter the Mobile Money number.
2.
Click "Pay FCFA … for everything".
3.
Approve the prompt on the phone.</t>
        </is>
      </c>
      <c r="F112" s="3" t="inlineStr">
        <is>
          <t>MTN test number</t>
        </is>
      </c>
      <c r="G112" s="3" t="inlineStr">
        <is>
          <t>A single payment prompt for the grand total; the page polls and switches to "Payment received"; every line moves to PAID with its own escrow amount; buyer gets one PAYMENT_CONFIRMED notification per line; back-office Payments lists "Cart order · SM-XXXXXX · N items".</t>
        </is>
      </c>
      <c r="H112" s="7" t="inlineStr">
        <is>
          <t>Blocked (needs provider key)</t>
        </is>
      </c>
      <c r="I112" s="3" t="inlineStr">
        <is>
          <t>High</t>
        </is>
      </c>
      <c r="J112" s="9" t="inlineStr"/>
      <c r="K112" s="9" t="inlineStr"/>
      <c r="L112" s="9" t="inlineStr"/>
    </row>
    <row r="113" ht="25.5" customHeight="1">
      <c r="A113" s="4" t="inlineStr">
        <is>
          <t>CHK-12</t>
        </is>
      </c>
      <c r="B113" s="3" t="inlineStr">
        <is>
          <t>Cart &amp; checkout</t>
        </is>
      </c>
      <c r="C113" s="3" t="inlineStr">
        <is>
          <t>Cash on delivery refused when a store does not offer it</t>
        </is>
      </c>
      <c r="D113" s="3" t="inlineStr">
        <is>
          <t>Cart contains an item from a store with cash on delivery disabled (Seller area → Store settings)</t>
        </is>
      </c>
      <c r="E113" s="3" t="inlineStr">
        <is>
          <t>1.
Open /checkout.
2.
Try to select Cash on delivery.</t>
        </is>
      </c>
      <c r="F113" s="3" t="inlineStr">
        <is>
          <t>Any listing of a store with COD off</t>
        </is>
      </c>
      <c r="G113" s="3" t="inlineStr">
        <is>
          <t>The Cash on delivery option is greyed out with "Not offered by &lt;store&gt;"; the API answers 422 COD_NOT_ACCEPTED if forced.</t>
        </is>
      </c>
      <c r="H113" s="7" t="inlineStr">
        <is>
          <t>Failure (expected error)</t>
        </is>
      </c>
      <c r="I113" s="3" t="inlineStr">
        <is>
          <t>Medium</t>
        </is>
      </c>
      <c r="J113" s="9" t="inlineStr"/>
      <c r="K113" s="9" t="inlineStr"/>
      <c r="L113" s="9" t="inlineStr"/>
    </row>
    <row r="114" ht="25.5" customHeight="1">
      <c r="A114" s="4" t="inlineStr">
        <is>
          <t>CHK-13</t>
        </is>
      </c>
      <c r="B114" s="3" t="inlineStr">
        <is>
          <t>Cart &amp; checkout</t>
        </is>
      </c>
      <c r="C114" s="3" t="inlineStr">
        <is>
          <t>Guest checkout with name and phone</t>
        </is>
      </c>
      <c r="D114" s="3" t="inlineStr">
        <is>
          <t>Signed out; cart holds 2 items</t>
        </is>
      </c>
      <c r="E114" s="3" t="inlineStr">
        <is>
          <t>1.
Open /checkout.
2.
Fill Full name, Phone number and (optionally) Email under "Your details".
3.
Choose Cash on delivery, fill the delivery address and phone.
4.
Click "Place order".</t>
        </is>
      </c>
      <c r="F114" s="3" t="inlineStr">
        <is>
          <t>Marie Ngo / 655 00 00 02 / marie.guest@example.com</t>
        </is>
      </c>
      <c r="G114" s="3" t="inlineStr">
        <is>
          <t>Order confirmed with a reference; a boxed tracking link (/orders/track?id=…&amp;token=…) with "Copy link" and "Follow my order"; the hint about creating an account later; no sign-in was required.</t>
        </is>
      </c>
      <c r="H114" s="7" t="inlineStr">
        <is>
          <t>Success</t>
        </is>
      </c>
      <c r="I114" s="3" t="inlineStr">
        <is>
          <t>High</t>
        </is>
      </c>
      <c r="J114" s="9" t="inlineStr"/>
      <c r="K114" s="9" t="inlineStr"/>
      <c r="L114" s="9" t="inlineStr"/>
    </row>
    <row r="115" ht="25.5" customHeight="1">
      <c r="A115" s="4" t="inlineStr">
        <is>
          <t>CHK-14</t>
        </is>
      </c>
      <c r="B115" s="3" t="inlineStr">
        <is>
          <t>Cart &amp; checkout</t>
        </is>
      </c>
      <c r="C115" s="3" t="inlineStr">
        <is>
          <t>Guest checkout without details is refused</t>
        </is>
      </c>
      <c r="D115" s="3" t="inlineStr">
        <is>
          <t>Signed out; cart holds an item</t>
        </is>
      </c>
      <c r="E115" s="3" t="inlineStr">
        <is>
          <t>1.
Open /checkout.
2.
Leave Full name and Phone empty and submit.</t>
        </is>
      </c>
      <c r="F115" s="3" t="inlineStr">
        <is>
          <t>—</t>
        </is>
      </c>
      <c r="G115" s="3" t="inlineStr">
        <is>
          <t>The browser blocks the submit on the required fields; the API answers 401 GUEST_DETAILS_REQUIRED when the guest block is missing.</t>
        </is>
      </c>
      <c r="H115" s="7" t="inlineStr">
        <is>
          <t>Failure (expected error)</t>
        </is>
      </c>
      <c r="I115" s="3" t="inlineStr">
        <is>
          <t>Medium</t>
        </is>
      </c>
      <c r="J115" s="9" t="inlineStr"/>
      <c r="K115" s="9" t="inlineStr"/>
      <c r="L115" s="9" t="inlineStr"/>
    </row>
    <row r="116" ht="25.5" customHeight="1">
      <c r="A116" s="4" t="inlineStr">
        <is>
          <t>CHK-15</t>
        </is>
      </c>
      <c r="B116" s="3" t="inlineStr">
        <is>
          <t>Cart &amp; checkout</t>
        </is>
      </c>
      <c r="C116" s="3" t="inlineStr">
        <is>
          <t>Guest follows the order by link and by reference + phone</t>
        </is>
      </c>
      <c r="D116" s="3" t="inlineStr">
        <is>
          <t>A guest order exists (previous scenario)</t>
        </is>
      </c>
      <c r="E116" s="3" t="inlineStr">
        <is>
          <t>1.
Open the tracking link from the confirmation.
2.
Open /orders/track without parameters.
3.
Enter the reference (any case) and the phone used at checkout.
4.
Repeat with a wrong phone number.</t>
        </is>
      </c>
      <c r="F116" s="3" t="inlineStr">
        <is>
          <t>SM-XXXXXX / 655000002 then 699999999</t>
        </is>
      </c>
      <c r="G116" s="3" t="inlineStr">
        <is>
          <t>Link and lookup both show the order: reference, date, method, total, delivery details and every line with its status; the wrong phone shows "No order matches this reference and phone number."</t>
        </is>
      </c>
      <c r="H116" s="7" t="inlineStr">
        <is>
          <t>Success</t>
        </is>
      </c>
      <c r="I116" s="3" t="inlineStr">
        <is>
          <t>High</t>
        </is>
      </c>
      <c r="J116" s="9" t="inlineStr"/>
      <c r="K116" s="9" t="inlineStr"/>
      <c r="L116" s="9" t="inlineStr"/>
    </row>
    <row r="117" ht="25.5" customHeight="1">
      <c r="A117" s="4" t="inlineStr">
        <is>
          <t>CHK-16</t>
        </is>
      </c>
      <c r="B117" s="3" t="inlineStr">
        <is>
          <t>Cart &amp; checkout</t>
        </is>
      </c>
      <c r="C117" s="3" t="inlineStr">
        <is>
          <t>Guest confirms receipt or cancels a line from the tracking page</t>
        </is>
      </c>
      <c r="D117" s="3" t="inlineStr">
        <is>
          <t>Guest order open on /orders/track; for receipt, the seller has confirmed delivery on one line</t>
        </is>
      </c>
      <c r="E117" s="3" t="inlineStr">
        <is>
          <t>1.
Click "Cancel order" on a line that is still CONFIRMED and accept the dialog.
2.
On a line the seller marked delivered, click "Confirm receipt".</t>
        </is>
      </c>
      <c r="F117" s="3" t="inlineStr">
        <is>
          <t>—</t>
        </is>
      </c>
      <c r="G117" s="3" t="inlineStr">
        <is>
          <t>The cancelled line shows CANCELLED; the received line shows COMPLETED; the other lines are untouched; nothing can be changed with a wrong token (403).</t>
        </is>
      </c>
      <c r="H117" s="7" t="inlineStr">
        <is>
          <t>Success</t>
        </is>
      </c>
      <c r="I117" s="3" t="inlineStr">
        <is>
          <t>Medium</t>
        </is>
      </c>
      <c r="J117" s="9" t="inlineStr"/>
      <c r="K117" s="9" t="inlineStr"/>
      <c r="L117" s="9" t="inlineStr"/>
    </row>
    <row r="118" ht="25.5" customHeight="1">
      <c r="A118" s="4" t="inlineStr">
        <is>
          <t>CHK-17</t>
        </is>
      </c>
      <c r="B118" s="3" t="inlineStr">
        <is>
          <t>Cart &amp; checkout</t>
        </is>
      </c>
      <c r="C118" s="3" t="inlineStr">
        <is>
          <t>Guest email later registered becomes a full account</t>
        </is>
      </c>
      <c r="D118" s="3" t="inlineStr">
        <is>
          <t>A guest ordered with an email</t>
        </is>
      </c>
      <c r="E118" s="3" t="inlineStr">
        <is>
          <t>1.
Go to /register and sign up with the same email.
2.
Verify the email and sign in.
3.
Open My orders.</t>
        </is>
      </c>
      <c r="F118" s="3" t="inlineStr">
        <is>
          <t>marie.guest@example.com</t>
        </is>
      </c>
      <c r="G118" s="3" t="inlineStr">
        <is>
          <t>Registration succeeds instead of "email already in use"; the guest rows are upgraded (one user, not two) and the guest orders appear in My orders.</t>
        </is>
      </c>
      <c r="H118" s="7" t="inlineStr">
        <is>
          <t>Success</t>
        </is>
      </c>
      <c r="I118" s="3" t="inlineStr">
        <is>
          <t>Medium</t>
        </is>
      </c>
      <c r="J118" s="9" t="inlineStr"/>
      <c r="K118" s="9" t="inlineStr"/>
      <c r="L118" s="9" t="inlineStr"/>
    </row>
    <row r="119" ht="25.5" customHeight="1">
      <c r="A119" s="4" t="inlineStr">
        <is>
          <t>CHK-18</t>
        </is>
      </c>
      <c r="B119" s="3" t="inlineStr">
        <is>
          <t>Cart &amp; checkout</t>
        </is>
      </c>
      <c r="C119" s="3" t="inlineStr">
        <is>
          <t>Guest checkout with an email that belongs to a member</t>
        </is>
      </c>
      <c r="D119" s="3" t="inlineStr">
        <is>
          <t>Signed out; an account exists with the email</t>
        </is>
      </c>
      <c r="E119" s="3" t="inlineStr">
        <is>
          <t>1.
Open /checkout and fill the guest form with a member's email.
2.
Submit.</t>
        </is>
      </c>
      <c r="F119" s="3" t="inlineStr">
        <is>
          <t>tech.elite@smartmarket.dev</t>
        </is>
      </c>
      <c r="G119" s="3" t="inlineStr">
        <is>
          <t>Refused with "This email already has an account. Please sign in to order." (409 EMAIL_HAS_ACCOUNT); same for a phone number owned by a member.</t>
        </is>
      </c>
      <c r="H119" s="7" t="inlineStr">
        <is>
          <t>Failure (expected error)</t>
        </is>
      </c>
      <c r="I119" s="3" t="inlineStr">
        <is>
          <t>Medium</t>
        </is>
      </c>
      <c r="J119" s="9" t="inlineStr"/>
      <c r="K119" s="9" t="inlineStr"/>
      <c r="L119" s="9" t="inlineStr"/>
    </row>
    <row r="120" ht="25.5" customHeight="1">
      <c r="A120" s="4" t="inlineStr">
        <is>
          <t>CHK-19</t>
        </is>
      </c>
      <c r="B120" s="3" t="inlineStr">
        <is>
          <t>Cart &amp; checkout</t>
        </is>
      </c>
      <c r="C120" s="3" t="inlineStr">
        <is>
          <t>Group page and order detail stay consistent</t>
        </is>
      </c>
      <c r="D120" s="3" t="inlineStr">
        <is>
          <t>A member cart order exists</t>
        </is>
      </c>
      <c r="E120" s="3" t="inlineStr">
        <is>
          <t>1.
Open My orders and click the "SM-XXXXXX · N items" chip.
2.
Click "View details" on one line.
3.
Confirm receipt on that line and return to the group page.</t>
        </is>
      </c>
      <c r="F120" s="3" t="inlineStr">
        <is>
          <t>—</t>
        </is>
      </c>
      <c r="G120" s="3" t="inlineStr">
        <is>
          <t>The group page (/account/orders/group/&lt;id&gt;) lists every line with status pills and per-line actions; the single-order page shows the same chip; the updated status is reflected on both pages.</t>
        </is>
      </c>
      <c r="H120" s="7" t="inlineStr">
        <is>
          <t>Success</t>
        </is>
      </c>
      <c r="I120" s="3" t="inlineStr">
        <is>
          <t>Medium</t>
        </is>
      </c>
      <c r="J120" s="9" t="inlineStr"/>
      <c r="K120" s="9" t="inlineStr"/>
      <c r="L120" s="9" t="inlineStr"/>
    </row>
  </sheetData>
  <autoFilter ref="A1:L120"/>
  <conditionalFormatting sqref="J2:J1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2:J120" showDropDown="0" showInputMessage="0" showErrorMessage="0" allowBlank="1" error="Choose Pass, Fail, Blocked or Not run" type="list">
      <formula1>"Pass,Fail,Blocked,Not run"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5" sqref="A15"/>
    </sheetView>
  </sheetViews>
  <sheetFormatPr baseColWidth="8" defaultColWidth="9" defaultRowHeight="14.25"/>
  <cols>
    <col width="22" customWidth="1" min="1" max="1"/>
    <col width="34" customWidth="1" min="2" max="2"/>
    <col width="20" customWidth="1" min="3" max="3"/>
    <col width="70" customWidth="1" min="4" max="4"/>
  </cols>
  <sheetData>
    <row r="1" ht="16.85" customHeight="1">
      <c r="A1" s="1" t="inlineStr">
        <is>
          <t>Test accounts (staging)</t>
        </is>
      </c>
    </row>
    <row r="3">
      <c r="A3" s="2" t="inlineStr">
        <is>
          <t>Role</t>
        </is>
      </c>
      <c r="B3" s="2" t="inlineStr">
        <is>
          <t>Email</t>
        </is>
      </c>
      <c r="C3" s="2" t="inlineStr">
        <is>
          <t>Password</t>
        </is>
      </c>
      <c r="D3" s="2" t="inlineStr">
        <is>
          <t>What it can do</t>
        </is>
      </c>
    </row>
    <row r="4">
      <c r="A4" s="3" t="inlineStr">
        <is>
          <t>Super admin</t>
        </is>
      </c>
      <c r="B4" s="3" t="inlineStr">
        <is>
          <t>test@smartmarket.dev</t>
        </is>
      </c>
      <c r="C4" s="3" t="inlineStr">
        <is>
          <t>NewPassword456</t>
        </is>
      </c>
      <c r="D4" s="3" t="inlineStr">
        <is>
          <t>Everything, incl. roles, jobs, money actions</t>
        </is>
      </c>
    </row>
    <row r="5">
      <c r="A5" s="3" t="inlineStr">
        <is>
          <t>Accountant</t>
        </is>
      </c>
      <c r="B5" s="3" t="inlineStr">
        <is>
          <t>accountant@smartmarket.dev</t>
        </is>
      </c>
      <c r="C5" s="3" t="inlineStr">
        <is>
          <t>Account123</t>
        </is>
      </c>
      <c r="D5" s="3" t="inlineStr">
        <is>
          <t>Payments, withdrawals, escrow release/refund; no operations</t>
        </is>
      </c>
    </row>
    <row r="6">
      <c r="A6" s="3" t="inlineStr">
        <is>
          <t>Customer service</t>
        </is>
      </c>
      <c r="B6" s="3" t="inlineStr">
        <is>
          <t>cs@smartmarket.dev</t>
        </is>
      </c>
      <c r="C6" s="3" t="inlineStr">
        <is>
          <t>Service123</t>
        </is>
      </c>
      <c r="D6" s="3" t="inlineStr">
        <is>
          <t>Users, stores, listings, categories, plans, disputes, flash campaigns; no money</t>
        </is>
      </c>
    </row>
    <row r="7">
      <c r="A7" s="3" t="inlineStr">
        <is>
          <t>Buyer</t>
        </is>
      </c>
      <c r="B7" s="3" t="inlineStr">
        <is>
          <t>buyer@smartmarket.dev</t>
        </is>
      </c>
      <c r="C7" s="3" t="inlineStr">
        <is>
          <t>BuyerPass123</t>
        </is>
      </c>
      <c r="D7" s="3" t="inlineStr">
        <is>
          <t>Customer without a store</t>
        </is>
      </c>
    </row>
    <row r="8">
      <c r="A8" s="3" t="inlineStr">
        <is>
          <t>Seller (Smart Trust)</t>
        </is>
      </c>
      <c r="B8" s="3" t="inlineStr">
        <is>
          <t>smarttrust@smartmarket.dev</t>
        </is>
      </c>
      <c r="C8" s="3" t="inlineStr">
        <is>
          <t>SmartTrust2026!</t>
        </is>
      </c>
      <c r="D8" s="3" t="inlineStr">
        <is>
          <t>Owns the Smart Trust store (Premium plan, 96 listings)</t>
        </is>
      </c>
    </row>
    <row r="9">
      <c r="A9" s="3" t="inlineStr">
        <is>
          <t>Seller (demo)</t>
        </is>
      </c>
      <c r="B9" s="3" t="inlineStr">
        <is>
          <t>tech.elite@smartmarket.dev</t>
        </is>
      </c>
      <c r="C9" s="3" t="inlineStr">
        <is>
          <t>Seller123!</t>
        </is>
      </c>
      <c r="D9" s="3" t="inlineStr">
        <is>
          <t>Demo store Tech Elite (all demo sellers use Seller123!)</t>
        </is>
      </c>
    </row>
    <row r="11" ht="16.85" customHeight="1">
      <c r="A11" s="1" t="inlineStr">
        <is>
          <t>Environment notes</t>
        </is>
      </c>
    </row>
    <row r="12" ht="18" customHeight="1">
      <c r="A12" s="4" t="inlineStr">
        <is>
          <t>Staging URL</t>
        </is>
      </c>
      <c r="B12" s="3" t="inlineStr">
        <is>
          <t>https://smartplaze.com  (French: /fr)</t>
        </is>
      </c>
      <c r="C12" s="5" t="n"/>
      <c r="D12" s="6" t="n"/>
    </row>
    <row r="13" ht="18" customHeight="1">
      <c r="A13" s="4" t="inlineStr">
        <is>
          <t>Admin back-office</t>
        </is>
      </c>
      <c r="B13" s="3" t="inlineStr">
        <is>
          <t>https://smartplaze.com/admin</t>
        </is>
      </c>
      <c r="C13" s="5" t="n"/>
      <c r="D13" s="6" t="n"/>
    </row>
    <row r="14" ht="18" customHeight="1">
      <c r="A14" s="4" t="inlineStr">
        <is>
          <t>Seller area</t>
        </is>
      </c>
      <c r="B14" s="3" t="inlineStr">
        <is>
          <t>https://smartplaze.com/seller</t>
        </is>
      </c>
      <c r="C14" s="5" t="n"/>
      <c r="D14" s="6" t="n"/>
    </row>
    <row r="15" ht="32" customHeight="1">
      <c r="A15" s="4" t="inlineStr">
        <is>
          <t>Email OTP</t>
        </is>
      </c>
      <c r="B15" s="3" t="inlineStr">
        <is>
          <t>RESEND_API_KEY is not set yet: registration and password-reset emails are not delivered. Use the accounts above; scenarios marked Blocked depend on it.</t>
        </is>
      </c>
      <c r="C15" s="5" t="n"/>
      <c r="D15" s="6" t="n"/>
    </row>
    <row r="16" ht="32" customHeight="1">
      <c r="A16" s="4" t="inlineStr">
        <is>
          <t>Mobile Money</t>
        </is>
      </c>
      <c r="B16" s="3" t="inlineStr">
        <is>
          <t>K-Pay keys answer "platform in maintenance" until the merchant account is live: Mobile Money checkout, subscription purchase, refunds and payouts are Blocked; cash on delivery works.</t>
        </is>
      </c>
      <c r="C16" s="5" t="n"/>
      <c r="D16" s="6" t="n"/>
    </row>
    <row r="17" ht="32" customHeight="1">
      <c r="A17" s="4" t="inlineStr">
        <is>
          <t>Google sign-in</t>
        </is>
      </c>
      <c r="B17" s="3" t="inlineStr">
        <is>
          <t>Add https://api.smartplaze.com/api/auth/google/callback as an authorised redirect URI in Google Cloud Console before testing.</t>
        </is>
      </c>
      <c r="C17" s="5" t="n"/>
      <c r="D17" s="6" t="n"/>
    </row>
    <row r="18" ht="18" customHeight="1">
      <c r="A18" s="4" t="inlineStr">
        <is>
          <t>Assistant</t>
        </is>
      </c>
      <c r="B18" s="3" t="inlineStr">
        <is>
          <t>GEMINI_API_KEY set on the server (same key and model as ELIZFLOW). Without it, the chat answers in built-in mode.</t>
        </is>
      </c>
      <c r="C18" s="5" t="n"/>
      <c r="D18" s="6" t="n"/>
    </row>
    <row r="19" ht="32" customHeight="1">
      <c r="A19" s="4" t="inlineStr">
        <is>
          <t>Flash campaigns</t>
        </is>
      </c>
      <c r="B19" s="3" t="inlineStr">
        <is>
          <t>Create them in Back-office → Flash deals. The flash-campaigns job applies/restores prices every 30 seconds; the storefront cache refreshes within 20 seconds.</t>
        </is>
      </c>
      <c r="C19" s="5" t="n"/>
      <c r="D19" s="6" t="n"/>
    </row>
    <row r="20" ht="32" customHeight="1">
      <c r="A20" s="4" t="inlineStr">
        <is>
          <t>Demo data</t>
        </is>
      </c>
      <c r="B20" s="3" t="inlineStr">
        <is>
          <t>7 demo stores and 51 demo listings (sellers use Seller123!) sit next to the Smart Trust store; purge before launch.</t>
        </is>
      </c>
      <c r="C20" s="5" t="n"/>
      <c r="D20" s="6" t="n"/>
    </row>
    <row r="21" ht="32" customHeight="1">
      <c r="A21" s="4" t="inlineStr">
        <is>
          <t>Reset a scenario</t>
        </is>
      </c>
      <c r="B21" s="3" t="inlineStr">
        <is>
          <t>Cancelling a campaign restores prices; archiving a listing frees quota; an admin can suspend/reactivate stores and users freely on staging.</t>
        </is>
      </c>
      <c r="C21" s="5" t="n"/>
      <c r="D21" s="6" t="n"/>
    </row>
  </sheetData>
  <mergeCells count="10">
    <mergeCell ref="B19:D19"/>
    <mergeCell ref="B14:D14"/>
    <mergeCell ref="B17:D17"/>
    <mergeCell ref="B18:D18"/>
    <mergeCell ref="B13:D13"/>
    <mergeCell ref="B12:D12"/>
    <mergeCell ref="B21:D21"/>
    <mergeCell ref="B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2026-09-24T14:13:00Z</dcterms:created>
  <dcterms:modified xmlns:dcterms="http://purl.org/dc/terms/" xmlns:xsi="http://www.w3.org/2001/XMLSchema-instance" xsi:type="dcterms:W3CDTF">2026-09-26T19:45:46Z</dcterms:modified>
  <cp:lastModifiedBy>Wilbroad Nde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8B9DCB22049B434A9EA5DD87EC7D84C3_12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